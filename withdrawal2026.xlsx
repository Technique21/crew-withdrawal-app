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ED2CF7EF-C057-469C-9061-132D7CEC03A5}" xr6:coauthVersionLast="47" xr6:coauthVersionMax="47" xr10:uidLastSave="{00000000-0000-0000-0000-000000000000}"/>
  <bookViews>
    <workbookView xWindow="-25995" yWindow="4545" windowWidth="21495" windowHeight="11295" xr2:uid="{4D0981FA-19A2-45E8-B513-18DB64A989E3}"/>
  </bookViews>
  <sheets>
    <sheet name="2026" sheetId="1" r:id="rId1"/>
  </sheets>
  <definedNames>
    <definedName name="_xlnm._FilterDatabase" localSheetId="0" hidden="1">'2026'!$B$5:$AD$111</definedName>
    <definedName name="JANUARY">'2026'!$C$57</definedName>
    <definedName name="_xlnm.Print_Area" localSheetId="0">'2026'!$B$1:$M$15</definedName>
    <definedName name="_xlnm.Print_Titles" localSheetId="0">'2026'!$5:$6</definedName>
    <definedName name="Z_C7A5ACA0_5E29_450D_9C64_3E5E0681A837_.wvu.FilterData" localSheetId="0" hidden="1">'2026'!$B$6:$AA$6</definedName>
    <definedName name="Z_C7A5ACA0_5E29_450D_9C64_3E5E0681A837_.wvu.PrintArea" localSheetId="0" hidden="1">'2026'!$B$1:$U$15</definedName>
    <definedName name="Z_C7A5ACA0_5E29_450D_9C64_3E5E0681A837_.wvu.PrintTitles" localSheetId="0" hidden="1">'2026'!$5:$6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0" i="1" l="1"/>
  <c r="H131" i="1" a="1"/>
  <c r="H132" i="1"/>
  <c r="H133" i="1" a="1"/>
  <c r="H134" i="1"/>
  <c r="Q63" i="1"/>
  <c r="Q55" i="1"/>
  <c r="Q53" i="1"/>
  <c r="Q46" i="1"/>
  <c r="Q44" i="1"/>
  <c r="Q41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<sst xmlns="http://schemas.openxmlformats.org/spreadsheetml/2006/main" count="1665" uniqueCount="451">
  <si>
    <t>VERITAS MARITIME CORPORATON</t>
  </si>
  <si>
    <t>Crew Withdrawals Summary</t>
  </si>
  <si>
    <t>From January 1, 2026 -  December 31, 2026</t>
  </si>
  <si>
    <t>Date</t>
  </si>
  <si>
    <t>Name</t>
  </si>
  <si>
    <t>Age</t>
  </si>
  <si>
    <t>Classification</t>
  </si>
  <si>
    <t>Rank</t>
  </si>
  <si>
    <t>Last Vessel</t>
  </si>
  <si>
    <t>No. of Contracts</t>
  </si>
  <si>
    <t>School</t>
  </si>
  <si>
    <t>Reason for Widrawal</t>
  </si>
  <si>
    <t>YEAR OF EXP</t>
  </si>
  <si>
    <t>Veritas        Salary</t>
  </si>
  <si>
    <t>Difference</t>
  </si>
  <si>
    <t>CREW with</t>
  </si>
  <si>
    <t>NFR/WITHDRAW</t>
  </si>
  <si>
    <t>TYPE OF</t>
  </si>
  <si>
    <t>CONTACT NUMBER</t>
  </si>
  <si>
    <t>ADDRESS</t>
  </si>
  <si>
    <t>REMARKS</t>
  </si>
  <si>
    <t>STATUS</t>
  </si>
  <si>
    <t>Date of Last Experience</t>
  </si>
  <si>
    <t>Higher License</t>
  </si>
  <si>
    <t>JISS License</t>
  </si>
  <si>
    <t>US VISA</t>
  </si>
  <si>
    <t>MOU</t>
  </si>
  <si>
    <t>DIVISION</t>
  </si>
  <si>
    <t>PRINCIPAL</t>
  </si>
  <si>
    <t>WIDRAWAL</t>
  </si>
  <si>
    <t>JAN 08 2026</t>
  </si>
  <si>
    <t>ORTEGA, ELISEO CARMELO</t>
  </si>
  <si>
    <t>Regular Crew</t>
  </si>
  <si>
    <t>C/E</t>
  </si>
  <si>
    <t>TOCHO</t>
  </si>
  <si>
    <t>PHILIPPINE MARITIME INSTITUTE - MANILA</t>
  </si>
  <si>
    <t>RETIRED</t>
  </si>
  <si>
    <t>NO</t>
  </si>
  <si>
    <t>PCC</t>
  </si>
  <si>
    <t>KSK</t>
  </si>
  <si>
    <t>Retired</t>
  </si>
  <si>
    <t>54 SAN ISIDRO ST. BRGY. STO NINO GALAS, BRGY. SAN ISIDRO, QUEZON CITY, NCR, SECOND DISTRICT</t>
  </si>
  <si>
    <t>PENDING SINATURE</t>
  </si>
  <si>
    <t>MASALLO, JOHN LOUIE BAJO</t>
  </si>
  <si>
    <t>SCHOLAR MAAP-IMMAJ</t>
  </si>
  <si>
    <t>3AE</t>
  </si>
  <si>
    <t>SHANGHAI HIGHWAY</t>
  </si>
  <si>
    <t>MARITIME ACADEMY OF ASIA &amp; THE PACIFIC</t>
  </si>
  <si>
    <t>CHANGE CAREER</t>
  </si>
  <si>
    <t>No Data</t>
  </si>
  <si>
    <t>WITHDRAW</t>
  </si>
  <si>
    <t>KRBS</t>
  </si>
  <si>
    <t>Non Salary Related</t>
  </si>
  <si>
    <t>AGULAY RD. BRGY. BAAY, BATAC, ILOCOS NORTE</t>
  </si>
  <si>
    <t>ROBLES, JOSEPH BERTULDES</t>
  </si>
  <si>
    <t>O/S</t>
  </si>
  <si>
    <t>CORONA JOYFUL</t>
  </si>
  <si>
    <t>STOP SAILING SINCE 2021</t>
  </si>
  <si>
    <t>BULK</t>
  </si>
  <si>
    <t>09663517918 / 09952269763</t>
  </si>
  <si>
    <t>PHASE 3 LT.4 BLK 7 BAHRAIN ST.VISTA VE</t>
  </si>
  <si>
    <t>JAN 13 2026</t>
  </si>
  <si>
    <t>ABELLA, JOWEY MESINA</t>
  </si>
  <si>
    <t>BSN</t>
  </si>
  <si>
    <t>BOSPORUS HIGHWAY</t>
  </si>
  <si>
    <t>UNIVERSITY OF CEBU</t>
  </si>
  <si>
    <t>CURRENTLY EMPLOYED AT YACHT CLUB MANILA</t>
  </si>
  <si>
    <t>033 5809314 / 09777739032 / 09157148204</t>
  </si>
  <si>
    <t>SALVACION, BUENAVISTA, GUIMARAS</t>
  </si>
  <si>
    <t>JACOB, JUNN BRYLE SAMILLANO</t>
  </si>
  <si>
    <t>FAST TRACK</t>
  </si>
  <si>
    <t>A/B</t>
  </si>
  <si>
    <t>CAPE CANARY</t>
  </si>
  <si>
    <t>POLYTECHNIC COLLEGE OF LA UNION</t>
  </si>
  <si>
    <t>TRANSFER TO OTHER COMPANY</t>
  </si>
  <si>
    <t>OF-13, TAYAWAN, TAWANG, LA TRINIDAD, BENGUET</t>
  </si>
  <si>
    <t>UBANA, REYNALDO BRAVO</t>
  </si>
  <si>
    <t>3/M</t>
  </si>
  <si>
    <t>NEW CENTURY 1</t>
  </si>
  <si>
    <t>STOP SAILING SINCE 2023</t>
  </si>
  <si>
    <t>369 SALUMBIDES ST., BRGY. MAGSAYSAY (POB.), LOPEZ, QUEZON</t>
  </si>
  <si>
    <t>JAN 21 2026</t>
  </si>
  <si>
    <t xml:space="preserve">
JARDELEZA, LEO ASTORIAS </t>
  </si>
  <si>
    <t>SOT</t>
  </si>
  <si>
    <t>TRANS FUTURE 5</t>
  </si>
  <si>
    <t>JOHN B. LACSON FOUNDATION MARITIME UNIVERSITY</t>
  </si>
  <si>
    <t>1051, BRGY. SAN ANTONIO II, NOVELETA, CAVITE</t>
  </si>
  <si>
    <t>RONOLO, FRITZ ROLLON</t>
  </si>
  <si>
    <t>C/M</t>
  </si>
  <si>
    <t>CAPE SASANQUA</t>
  </si>
  <si>
    <t>09608664442 / 09674708917 / 09619081782 / 0945-742-6135</t>
  </si>
  <si>
    <t>PHS.1 BLK.1 LOT 65 SPRINGTOWN VILLAS,, BRGY. GAYA-GAYA, CITY OF SAN JOSE DEL MONTE, BULACAN</t>
  </si>
  <si>
    <t>JAN 29 2026</t>
  </si>
  <si>
    <t>UMLAS, EDGAR DIMZON</t>
  </si>
  <si>
    <t>TOHOKU MARU</t>
  </si>
  <si>
    <t>TECHNOLOGICAL INSTITUTE OF THE PHILIPPINES - MANILA</t>
  </si>
  <si>
    <t>09165588927/09517567764 / 09517567764</t>
  </si>
  <si>
    <t>16 JUSTO ST., BRGY. MARULAS, CITY OF VALENZUELA, NCR, THIRD DISTRICT</t>
  </si>
  <si>
    <t>PARREÑO, JOHN EUCLID PELOBELLO</t>
  </si>
  <si>
    <t>VMC RATINGS PROGRAM</t>
  </si>
  <si>
    <t>D/B</t>
  </si>
  <si>
    <t>MEDICAL CONDITION</t>
  </si>
  <si>
    <t>NFR</t>
  </si>
  <si>
    <t>NFR due to PEME</t>
  </si>
  <si>
    <t>BRGY. MAN-IT, PASSI CITY, ILOILO</t>
  </si>
  <si>
    <t>PARREÑAS, RAY FANTONALGO</t>
  </si>
  <si>
    <t>MTR</t>
  </si>
  <si>
    <t>TASIK SAKURA</t>
  </si>
  <si>
    <t>VMA GLOBAL COLLEGE</t>
  </si>
  <si>
    <t>(034) 444 1392 / 09685934029 / 09274616540</t>
  </si>
  <si>
    <t>BLK50 LOT 7, COPENHAGEN ST. MAUVILLE SUBD., BRGY. TANGUB, BACOLOD CITY, NEGROS OCCIDENTAL</t>
  </si>
  <si>
    <t>FEB 10 2026</t>
  </si>
  <si>
    <t>OCBENA VONGEMAR</t>
  </si>
  <si>
    <t>TOYOKUNI</t>
  </si>
  <si>
    <t>ILOILO MARITIME ACADEMY</t>
  </si>
  <si>
    <t>STOP SAILING SINCE 2011</t>
  </si>
  <si>
    <t>SOCORRO 59D 14TH AVE., QUEZON CITY, METRO MANILA</t>
  </si>
  <si>
    <t>SAN JUAN, JOHN PAUL LUCASAN</t>
  </si>
  <si>
    <t>OLR</t>
  </si>
  <si>
    <t>JBLMU</t>
  </si>
  <si>
    <t>PRK. PAHO SOUTH, BRGY. TALOC, BAGO CITY, NEGROS OCCIDENTAL</t>
  </si>
  <si>
    <t>POTOT, MARS MARINDUQUE</t>
  </si>
  <si>
    <t>CAPE MIDORI</t>
  </si>
  <si>
    <t>CEBU STATE COLLEGE OF SCIENCE AND TECHNOLOGY</t>
  </si>
  <si>
    <t>09673157514 / 0943-136-9471</t>
  </si>
  <si>
    <t>BLDG 7 UNIT 117 URBAN DECA HOMES, BRGY. TIPOLO, MANDAUE CITY, CEBU</t>
  </si>
  <si>
    <t>TIMOTEO, NESTOR CRUZAT</t>
  </si>
  <si>
    <t>C/C</t>
  </si>
  <si>
    <t>CAPE ALLIANCE</t>
  </si>
  <si>
    <t>N/A</t>
  </si>
  <si>
    <t>0945-822-9313 / 09157660641</t>
  </si>
  <si>
    <t>352 LITLIT, SILANG, CAVITE</t>
  </si>
  <si>
    <t>DE CHAVEZ, NELSON BRUAL</t>
  </si>
  <si>
    <t>2/M</t>
  </si>
  <si>
    <t>LYCEUM OF THE PHILIPPINES UNIVERSITY</t>
  </si>
  <si>
    <t>L3 B10 TULIP ST. GRANDVILLA SUBD., BRGY. BALAYONG, BAUAN, BATANGAS</t>
  </si>
  <si>
    <t>FEB 12 2026</t>
  </si>
  <si>
    <t>LAYDEROS, JOHN CARLO SIGALAT</t>
  </si>
  <si>
    <t>COOK CADET FAST TRACK</t>
  </si>
  <si>
    <t>MSM</t>
  </si>
  <si>
    <t>no experience</t>
  </si>
  <si>
    <t>MARINERS POLYTECHNIC COLLEGES FOUNDATION</t>
  </si>
  <si>
    <t>0956-370-9015</t>
  </si>
  <si>
    <t>ZONE 2, CALABANGA, CAMARINES SUR</t>
  </si>
  <si>
    <t>GRIFALDO, ALVIN RATIN</t>
  </si>
  <si>
    <t>CAPE MAGNOLIA</t>
  </si>
  <si>
    <t>PMMS - LAS PINAS</t>
  </si>
  <si>
    <t>09952384360 / 09183667681</t>
  </si>
  <si>
    <t>#16 NARRA ST., BRGY FATIMA 1-K, DASMARIAS, CAVITE</t>
  </si>
  <si>
    <t>DAPAR, JUSTINE CARL DALOGDOG</t>
  </si>
  <si>
    <t>KLINE MESP</t>
  </si>
  <si>
    <t>DC</t>
  </si>
  <si>
    <t>CRISTAL E-COLLEGE</t>
  </si>
  <si>
    <t>0995-263-1047 / 0995 263 1047</t>
  </si>
  <si>
    <t>PUROK 5,SITIO BINANTAY, BILAR, BOHOL</t>
  </si>
  <si>
    <t>ENTIA, EDILBERTO GALLEGO</t>
  </si>
  <si>
    <t>MISAMIS INSTITUE OF TECHNOLOGY</t>
  </si>
  <si>
    <t>32 RIZAL ST., PUROK 3, CANUBAY, OROQUIETA CITY, MISAMIS OCCIDENTAL</t>
  </si>
  <si>
    <t>SINENSE, JUSTINE ALLOSO</t>
  </si>
  <si>
    <t>CAPE SAPPHIRE</t>
  </si>
  <si>
    <t>ASIAN INSTITUTE OF MARITIME STUDIES</t>
  </si>
  <si>
    <t>462 CAMIA ST., BRGY. ALABANG, CITY OF MUNTINLUPA, NCR, FOURTH DISTRICT</t>
  </si>
  <si>
    <t>MANTES, TYRRON JADE PALCON</t>
  </si>
  <si>
    <t>NEW CENTURY 2</t>
  </si>
  <si>
    <t>BLK 20 LOT 49 EAGLE ST., WOODHILLS SUBD., SAN ANTONIO, BRGY. SAN ANTONIO, CITY OF SAN PEDRO, LAGUNA</t>
  </si>
  <si>
    <t>FEB 18 2026</t>
  </si>
  <si>
    <t>PACHECO, PAULO LINOEL CLAVECILLAS</t>
  </si>
  <si>
    <t>CAPE YAMABUKI</t>
  </si>
  <si>
    <t>(0950) 079 5563 / 0907-2132356</t>
  </si>
  <si>
    <t>67C OTERO AVE. MABAYUAN OLONGAPO CITY, BRGY. MABAYUAN, OLONGAPO C</t>
  </si>
  <si>
    <t>FEB 24 2026</t>
  </si>
  <si>
    <t>PEROCHO, VICENTE JR. POLI</t>
  </si>
  <si>
    <t>ST. THERESE MTC COLLEGE</t>
  </si>
  <si>
    <t>DECEASED</t>
  </si>
  <si>
    <t>006-B PAGUIO ST., BRGY. LAMAO, LIMAY, BATAAN</t>
  </si>
  <si>
    <t>MAR 03  2026</t>
  </si>
  <si>
    <t>GUISIHAN, REYNALD RYAN VILLAMOR</t>
  </si>
  <si>
    <t>VMC COOK TRAINEE</t>
  </si>
  <si>
    <t>2/C</t>
  </si>
  <si>
    <t>HORIZON HIGHWAY</t>
  </si>
  <si>
    <t>SAMSON TECHNICAL INSTITUTE INC.</t>
  </si>
  <si>
    <t>MEDICAL FINDINGS</t>
  </si>
  <si>
    <t>09564413923 / 09393433183 / 09393433183</t>
  </si>
  <si>
    <t>PUROK MANGGA SUBIDA, SANTA CRUZ, DAVAO DEL SUR</t>
  </si>
  <si>
    <t>SINCIOCO, EDWIN FLORES</t>
  </si>
  <si>
    <t>NATIONAL COLLEGE BUSINESS ADM.</t>
  </si>
  <si>
    <t>For retirement</t>
  </si>
  <si>
    <t>09612383664 / 0998-8851-8781</t>
  </si>
  <si>
    <t>0029 TAPATAN ROAD, SULUCAN, BRGY. SULUCAN, ANGAT, BULACAN</t>
  </si>
  <si>
    <t>MAR 11 2026</t>
  </si>
  <si>
    <t>ALBAY, GEORGIE SALAMAT</t>
  </si>
  <si>
    <t>ALBION BAY</t>
  </si>
  <si>
    <t>8655-87-25 / 0939-8344-442</t>
  </si>
  <si>
    <t>L9 B3 CHAMPACA ST. GREENLAND EXEC. VILLAGE, BRGY. SAN JUAN, CAINTA, RIZALL9 B3 CHAMPACA ST. GREENLAND EXEC. VILLAGE, BRGY. SAN JUAN, CAINTA, RIZAL</t>
  </si>
  <si>
    <t>DATCHILE, KIM PACANA</t>
  </si>
  <si>
    <t>CAPE NORMANDY</t>
  </si>
  <si>
    <t>ST. JOSEPH INSTITUTE OF TECHNOLOGY</t>
  </si>
  <si>
    <t>Medical Reason</t>
  </si>
  <si>
    <t>POBLACION-1 PUROK-3, BUENAVISTA, AGUSAN DEL NORTE</t>
  </si>
  <si>
    <t>EVANGELISTA, RICH JIRO RAS</t>
  </si>
  <si>
    <t>SCHOLAR KLINE KRBS CEC KLINE OFFICERS PROGRAM</t>
  </si>
  <si>
    <t>STA. FILOMENA, ALBURQUERQUE, BOHOL</t>
  </si>
  <si>
    <t>MAR 26 2026</t>
  </si>
  <si>
    <t>SAURO, ELEUTERIO JR. CABILING</t>
  </si>
  <si>
    <t>CEBU CENTRAL COLLEGES</t>
  </si>
  <si>
    <t>619 DAMULAAN, BRGY. DAMULA-AN, ALBUERA, LEYTE</t>
  </si>
  <si>
    <t>VILLEGAS, TEODULO JR. ABONALES</t>
  </si>
  <si>
    <t>sot</t>
  </si>
  <si>
    <t>PHILIPPINE MARITIME INSTITUTE - BOHOL</t>
  </si>
  <si>
    <t>CHANGE CAREER(LANDBASE)</t>
  </si>
  <si>
    <t>09054350852 / 09077401982</t>
  </si>
  <si>
    <t>PRK 6,PONONG, ALBURQUERQUE, BOHOL</t>
  </si>
  <si>
    <t>COMPLETE</t>
  </si>
  <si>
    <t>APR 06 2026</t>
  </si>
  <si>
    <t>DE JUAN, LEEE LABON</t>
  </si>
  <si>
    <t>Michigan Hway</t>
  </si>
  <si>
    <t>Aklan State University</t>
  </si>
  <si>
    <t>NO DATA</t>
  </si>
  <si>
    <t>APR 13 2026</t>
  </si>
  <si>
    <t xml:space="preserve">
BAGOS, ARNOLD GRANTOZA</t>
  </si>
  <si>
    <t>Lyceum of the Philppines University</t>
  </si>
  <si>
    <t>STOP SAILING SINCE 2020</t>
  </si>
  <si>
    <t xml:space="preserve">
PERSONAS, PERSONAS, CALAPAN, ORIENTAL MINDORO</t>
  </si>
  <si>
    <t>KIMANHAN, DEMN CHARLE CRISTIAN RAGMAC</t>
  </si>
  <si>
    <t>PROFESIONAL WORLD ACADEMY</t>
  </si>
  <si>
    <t>0950-2147-147</t>
  </si>
  <si>
    <t>P-ZENIA CABALANTIAN, MANTICAO, MISAMIS ORIENTAL</t>
  </si>
  <si>
    <t>DIMANLIG, VIRGILIO FLORENTINO</t>
  </si>
  <si>
    <t>FEATI UNIVERSITY</t>
  </si>
  <si>
    <t>(044)766-0105 / 0928-9091497</t>
  </si>
  <si>
    <t>0405 PCRUZ ST. TARCAN, BRGY. TARCAN, BALIUAG, BULACAN</t>
  </si>
  <si>
    <t>COMPLETE SINATURE</t>
  </si>
  <si>
    <t>APR 15 2026</t>
  </si>
  <si>
    <t>ENDRERA, JOSE BOGARD SUSVILLA</t>
  </si>
  <si>
    <t>1OLR</t>
  </si>
  <si>
    <t>EURASIAN HIGHWAY</t>
  </si>
  <si>
    <t>W V C S T/I S A T</t>
  </si>
  <si>
    <t>RECEIVED PARTIAL DISABILITY</t>
  </si>
  <si>
    <t>189 B. VALERIA EXT.,I, ILOILO CITY, ILOILO</t>
  </si>
  <si>
    <t>APR 16 2026</t>
  </si>
  <si>
    <t>BELGADO, DOMINGO RELLES</t>
  </si>
  <si>
    <t>SANTIAGO YOUNG, NABUA, CAMARINES SUR</t>
  </si>
  <si>
    <t>APR 21 2026</t>
  </si>
  <si>
    <t>BELGADO, JAY-AR JOVEN</t>
  </si>
  <si>
    <t>CAMARINES SUR POLYTECHNIC COLLEGE</t>
  </si>
  <si>
    <t>09612137231 / 09154985751</t>
  </si>
  <si>
    <t>ZONE 6 SANTIAGO YOUNG, NABUA, CAMARINES SUR</t>
  </si>
  <si>
    <t>CANITAN, DENNIS ANASARIAS</t>
  </si>
  <si>
    <t>CORONA SPLENDOR</t>
  </si>
  <si>
    <t>WESTERN INSTITUTE OF TECHNOLOGY</t>
  </si>
  <si>
    <t>MIGRATE TO NEW ZEALAND</t>
  </si>
  <si>
    <t>SINAMAY, ALIMODIAN, ILOILO</t>
  </si>
  <si>
    <t>PALMES, ROGELIO FUNDAL</t>
  </si>
  <si>
    <t>SHINING BLISS</t>
  </si>
  <si>
    <t>8663-0708 / 09208194924</t>
  </si>
  <si>
    <t>12 OPAL ST. LAS PINAS ROYALE,STATE,NAGA ROAD,PULANG LUPA II, CITY OF LAS PIÑAS, NCR, FOURTH DISTRICT</t>
  </si>
  <si>
    <t>NICDAO JR., DOUGLAS DECENA</t>
  </si>
  <si>
    <t>OREGON HIGHWAY</t>
  </si>
  <si>
    <t>PHILSIN COLLEGE FOUNDATION</t>
  </si>
  <si>
    <t>1013 LEYTE LUZON ST. BRGY 562, CITY OF MANILA</t>
  </si>
  <si>
    <t>SUMUGAT, JONELZ CAMPO</t>
  </si>
  <si>
    <t>EUPHRATES HIGHWAY</t>
  </si>
  <si>
    <t>SULTAN KUDARAT STATE UNIVERSITY</t>
  </si>
  <si>
    <t>NFR - UNFIT</t>
  </si>
  <si>
    <t>09052723809 / 09298640214 / 09052723809</t>
  </si>
  <si>
    <t>B1 CASUGA SUBD., BRGY. BUENAFLOR, CITY OF TACURONG, SULTAN KUDARAT</t>
  </si>
  <si>
    <t>JUAN, WILFREDO SARABIA</t>
  </si>
  <si>
    <t>CAPE COSMOS</t>
  </si>
  <si>
    <t>0905-242-1420 / 09776343353</t>
  </si>
  <si>
    <t>BLOCK 6 L16 PHASE 2 PAUL ST. GOLDEN VILLE ESTATE, LONGOS, MALOLOS CITY, BULACAN</t>
  </si>
  <si>
    <t>APR 22 2026</t>
  </si>
  <si>
    <t>PUNZALAN, JEFFREY TOCINO</t>
  </si>
  <si>
    <t>SAPID JR., ALBINO TINGAL</t>
  </si>
  <si>
    <t>1AE</t>
  </si>
  <si>
    <t>NC SAPPHIRE</t>
  </si>
  <si>
    <t>484-4406 / 09394251182 / 09394251182</t>
  </si>
  <si>
    <t>BRGY. BANHIGAN, DALAGUETE, CEBU</t>
  </si>
  <si>
    <t>MONCERA, ROMMEL AGUSILA</t>
  </si>
  <si>
    <t>(034) 4440696 / 0928-3763-495</t>
  </si>
  <si>
    <t>LOT14 BLK 10 GARDENVILLE SUBD. TANGUB, BACOLOD CITY, NEGROS OCCIDENTAL</t>
  </si>
  <si>
    <t>MAY 05 2026</t>
  </si>
  <si>
    <t>CABALQUINTO, REX PENITRANTE</t>
  </si>
  <si>
    <t>VMC COOK CADET FAST TRACK</t>
  </si>
  <si>
    <t>TRANS FUTURE 11</t>
  </si>
  <si>
    <t>CREW PLAN FOR EARLY RETIREMENT</t>
  </si>
  <si>
    <t>BLOCK 10 LOT 12 CAMELLA SUBD., BRGY. CARARAYAN, NAGA CITY, CAMARINES SUR</t>
  </si>
  <si>
    <t>LOMBOS JR., REYNALDO CARABAL</t>
  </si>
  <si>
    <t>SOUTHERN HIGHWAY</t>
  </si>
  <si>
    <t>MISAMIS INSTITUTE OF TECHNOLOGY - MISAMIS OCCIDENTAL</t>
  </si>
  <si>
    <t>0956-681-4771</t>
  </si>
  <si>
    <t>MAYOR A. ENERIO ST., BRGY. LANGCANGAN UPPER, OROQUIETA CITY, MISAMIS OCCIDENTAL</t>
  </si>
  <si>
    <t>CORPUZ JR., FLORENTINO VELO</t>
  </si>
  <si>
    <t>PHILIPPINE MERCHANT MARINE SCHOOL- LAS PIÑAS CITY, METRO MANILA</t>
  </si>
  <si>
    <t>#117, BRGY. LAOAC, ALCALA, PANGASINAN</t>
  </si>
  <si>
    <t>MAY 11 2026</t>
  </si>
  <si>
    <t>IROMA, JOSEPH REY BAJADA</t>
  </si>
  <si>
    <t>AEGEAN HIGHWAY</t>
  </si>
  <si>
    <t>JOHN B. LACSON FOUND</t>
  </si>
  <si>
    <t>STOP SAILING CAREER</t>
  </si>
  <si>
    <t>09278550862 / 0921-391-3438</t>
  </si>
  <si>
    <t>BLK12 LOT5 . SAN MATEO VILL, PUNTA TAYTAY, BACOLOD CITY, NEGROS OCCIDENTAL</t>
  </si>
  <si>
    <t>ANGLO JR., REGINO CHAVEZ</t>
  </si>
  <si>
    <t>TRANS FUTURE 7</t>
  </si>
  <si>
    <t>LYCEUM OF BATANGAS</t>
  </si>
  <si>
    <t>CHANGE CAREER (APPLYING TO AUSTRALIA)</t>
  </si>
  <si>
    <t>09567528558 / 0906-571-3245</t>
  </si>
  <si>
    <t>BRGY. ORENSE, BAUAN, BATANGAS</t>
  </si>
  <si>
    <t>EXALA, JASPER LAWRENCE TISOY</t>
  </si>
  <si>
    <t>PNTC COLLEGES</t>
  </si>
  <si>
    <t>TRANSFER TO OTHER COMPANY (TRANS GLOBAL)</t>
  </si>
  <si>
    <t>074 ARISTON SISON ST. BRGY. 10B, CAVITE CITY, CAVITE</t>
  </si>
  <si>
    <t>MAY 19 2026</t>
  </si>
  <si>
    <t>DINGLASA, KENT JOSEPH SOLIS</t>
  </si>
  <si>
    <t>INDIGO HOPE</t>
  </si>
  <si>
    <t>UNIVERSITY OF CEBU-METC</t>
  </si>
  <si>
    <t>TRANSFER TO OTHER COMPANY (BW-SHIPPING)</t>
  </si>
  <si>
    <t>NICTON BLDG., TIBURCIO PADILLA, CEBU CITY, CEBU</t>
  </si>
  <si>
    <t>LAPASTORA, GLICER PRIZA</t>
  </si>
  <si>
    <t>DRIVE GREEN HIGHWAY</t>
  </si>
  <si>
    <t>TRANSFER TO OTHER COMPANY (AVANT GARDE)</t>
  </si>
  <si>
    <t>AN NICOLAS LAPAZ, ILOILO CITY, ILOILO</t>
  </si>
  <si>
    <t>MAY 20 2026</t>
  </si>
  <si>
    <t>TAMBONGCO, ELVIN JOHN BAUTISTA</t>
  </si>
  <si>
    <t>CARIBBEAN HIGHWAY</t>
  </si>
  <si>
    <t>WESLEYAN UNIVERSITY PHILIPPINES</t>
  </si>
  <si>
    <t xml:space="preserve">STOP SAILING </t>
  </si>
  <si>
    <t>SABA ST. BRGY. CONCEPCION, ZARAGOZA, NUEVA ECIJA</t>
  </si>
  <si>
    <t>PUSOC, GERARD JAGUNAP</t>
  </si>
  <si>
    <t>SARGAM</t>
  </si>
  <si>
    <t>09165483810 / 09683031814 / 09661786927</t>
  </si>
  <si>
    <t>BRGY. NABITASAN, LEGANES, ILOILO</t>
  </si>
  <si>
    <t>SEDANTES, ULDARICO SANDAGA</t>
  </si>
  <si>
    <t>ST. THERESE MTC - COLLEGE</t>
  </si>
  <si>
    <t>ALLERA ST, TIGBAUAN, ILOILO</t>
  </si>
  <si>
    <t>MAY 26 2026</t>
  </si>
  <si>
    <t>DE ASIS, JOEFFREY ARAOJO</t>
  </si>
  <si>
    <t>SCHOLAR JBLFMU</t>
  </si>
  <si>
    <t>TRANSFER TO OTHER COMPANY (ANGLO EASTERN)</t>
  </si>
  <si>
    <t>0995-9151-946</t>
  </si>
  <si>
    <t>BRGY. BADIANG, BRGY. BADIANG, ANILAO, ILOILO</t>
  </si>
  <si>
    <t xml:space="preserve">MAY/JUNE </t>
  </si>
  <si>
    <t>LIBO-ON, CHRISTIAN VILLAVICENCIO</t>
  </si>
  <si>
    <t>JOHN B. LACSON COLLEGES FOUNDATION</t>
  </si>
  <si>
    <t>MIGRATE TO US</t>
  </si>
  <si>
    <t>BRGY. TRAPICHE, OTON, ILOILO</t>
  </si>
  <si>
    <t>JUNE</t>
  </si>
  <si>
    <t>STOP SAILING (FAMILY MATTER</t>
  </si>
  <si>
    <t>FALLE, FRANKLIN CARUMBA</t>
  </si>
  <si>
    <t>LONDON HIGHWAY</t>
  </si>
  <si>
    <t>CAPITOL UNIVERSITY</t>
  </si>
  <si>
    <t>BRGY. PAGALONGAN, WAO, LANAO DEL SUR</t>
  </si>
  <si>
    <t>FRANCISCO, RENAN VILLANUEVA</t>
  </si>
  <si>
    <t>DELHI HIGHWAY</t>
  </si>
  <si>
    <t>UNFIT FOR SEADUTY</t>
  </si>
  <si>
    <t>530-6182 / 09177070200 / 09928406135</t>
  </si>
  <si>
    <t>15A SAN RAMON STREET, SANTO ROSARIO-DURAN, ILOILO</t>
  </si>
  <si>
    <t>ROMERO, JHOY LABORES</t>
  </si>
  <si>
    <t>CORONA KINGDOM</t>
  </si>
  <si>
    <t>044-760-6042 / 09276607845</t>
  </si>
  <si>
    <t>ESPANA, SAN FERNANDO, ROMBLON</t>
  </si>
  <si>
    <t>POCOT, DONNIE VINCENT MENDOZA</t>
  </si>
  <si>
    <t>CAPE AMAL</t>
  </si>
  <si>
    <t>1738 MOLAVE DRIVE AMOA SUBDIVISION, BRGY. TAMIAO, COMPOSTELA, CEBU</t>
  </si>
  <si>
    <t xml:space="preserve">ROMANO, MARLOWE </t>
  </si>
  <si>
    <t>09918160129 / 09076110880</t>
  </si>
  <si>
    <t>BRGY. NUEVA FUERZA, CARMEN, BOHOL</t>
  </si>
  <si>
    <t>ALEJO, HERBERT FEROLIN</t>
  </si>
  <si>
    <t>MEDICAL REASON</t>
  </si>
  <si>
    <t>047 6132371 / 09219888548</t>
  </si>
  <si>
    <t>053 MALVAR ST., BRGY. REFORMISTA, LIMAY, BATAAN</t>
  </si>
  <si>
    <t>SUMADIA, GEOFFREY RAMMY ANTHONY HUQUERIZA</t>
  </si>
  <si>
    <t>SCHOLAR DCSP</t>
  </si>
  <si>
    <t>PHOENIX K</t>
  </si>
  <si>
    <t>DMMA COLLEGE OF SOUTHERN PHILIPPINES</t>
  </si>
  <si>
    <t>TRANSFER TO OTHER COMPANY (CROSSWORLD)</t>
  </si>
  <si>
    <t>570 CUELLO STREET, BRGY. KALAWAG II (POB.), ISULAN, SULTAN KUDARAT</t>
  </si>
  <si>
    <t>JULY</t>
  </si>
  <si>
    <t>LOCSON, PHILLIP ADRIAN CORTEZ</t>
  </si>
  <si>
    <t>0908-2374-304 / 4335-826</t>
  </si>
  <si>
    <t>4TH ROAD, BACOLOD CITY, NEGROS OCCIDENTAL</t>
  </si>
  <si>
    <t>CENAL, NELSON AMPULLER</t>
  </si>
  <si>
    <t>TRANS FUTURE 8</t>
  </si>
  <si>
    <t>WESTERN INSTITUTE OF TECH./JBLC</t>
  </si>
  <si>
    <t>BRGY. PATONG-PATONG, JANIUAY, ILOILO</t>
  </si>
  <si>
    <t>LOZANO, RALF ROBIN SANTOS</t>
  </si>
  <si>
    <t>CAPE AMANDA</t>
  </si>
  <si>
    <t>ZAMBOANGA STATE COLLEGE OF MARINE SCIENCES &amp; TECHNOLOGY</t>
  </si>
  <si>
    <t>NFR due to Poor Evaluation</t>
  </si>
  <si>
    <t>645 DOÑA BENITA DRIVE, BRGY. CANELAR, ZAMBOANGA CITY, ZAMBOANGA DEL SUR</t>
  </si>
  <si>
    <t>GADAYAN, RICKY SUERTE</t>
  </si>
  <si>
    <t>SCHOLAR KLINE ME+</t>
  </si>
  <si>
    <t>CAPE BRITANNIA</t>
  </si>
  <si>
    <t>TUP VISAYAS/VMA GLOBAL COLLEGE</t>
  </si>
  <si>
    <t>09155215620 / 09155215620</t>
  </si>
  <si>
    <t>PUROK KABUGWASON, BRGY. CABUG, BACOLOD CITY, NEGROS OCCIDENTAL</t>
  </si>
  <si>
    <t>CUASAY, ALDRIN LOUIE MERCADO</t>
  </si>
  <si>
    <t>BALTIMORE HIGHWAY</t>
  </si>
  <si>
    <t>BRGY. TALUMPOK SILANGAN, BATANGAS CITY, BATANGAS</t>
  </si>
  <si>
    <t>BILLONES, JOSEPH JERSON GELLA</t>
  </si>
  <si>
    <t>CALIFORNIA HIGHWAY</t>
  </si>
  <si>
    <t>COLEGIO DELA PURISIMA CONCEPCION</t>
  </si>
  <si>
    <t>0907-158-8008</t>
  </si>
  <si>
    <t>PANG-PANG, BRGY. BOLO, ROXAS CITY, CAPIZ</t>
  </si>
  <si>
    <t>AVENTURADO, ERWIN ARBAN</t>
  </si>
  <si>
    <t>BRGY.CADIZ VIEJO, CADIZ CITY, NEGROS OCCIDENTAL</t>
  </si>
  <si>
    <t>MADAYAG, ANDREW BON ESPAÑOLA</t>
  </si>
  <si>
    <t>EUROPA BAY</t>
  </si>
  <si>
    <t>(034) 4313259 / 0999-1987013</t>
  </si>
  <si>
    <t>16 ST. AGUINALDO, PUROK GABI, BRGY. 4 (POB.), BACOLOD CITY, NEGROS OCCIDENTAL</t>
  </si>
  <si>
    <t>SALHAY, NYVHEL CEL GEANGA</t>
  </si>
  <si>
    <t>TEXAS HIGHWAY</t>
  </si>
  <si>
    <t>TRANSFER TO OTHER COMPANY OSM</t>
  </si>
  <si>
    <t>BEGONIA, BRGY. MIRANDA, PONTEVEDRA, NEGROS OCCIDENTAL</t>
  </si>
  <si>
    <t>AUGUST</t>
  </si>
  <si>
    <t>RENDON, SAM ALLEN FRAYCO</t>
  </si>
  <si>
    <t>MANAGING FAMILY BUSINESS(PHARMACY)</t>
  </si>
  <si>
    <t>0915-1300-312</t>
  </si>
  <si>
    <t>PRK. 2 PASIAN, BRGY. POBLACION, MONKAYO, DAVAO DE ORO</t>
  </si>
  <si>
    <t>CASTILLON, FELMAR CAGATAN</t>
  </si>
  <si>
    <t>CAPE VERDE</t>
  </si>
  <si>
    <t>SIQUIJOR STATE COLLEGE</t>
  </si>
  <si>
    <t>0905-843-2204</t>
  </si>
  <si>
    <t>BRGY. NAGERONG, LAZI, SIQUIJOR</t>
  </si>
  <si>
    <t>EDULAN, DANIEL JR. GALANIDO</t>
  </si>
  <si>
    <t>o/s</t>
  </si>
  <si>
    <t>BLUE RIDGE HIGHWAY</t>
  </si>
  <si>
    <t>BIT INTERNATIONAL COLLEGE</t>
  </si>
  <si>
    <t>MANAGING HIS BUSINESS ( WATER REFILLING STATION)</t>
  </si>
  <si>
    <t>0928-613-2906</t>
  </si>
  <si>
    <t>CANTAGAY, JAGNA, BOHOL</t>
  </si>
  <si>
    <t xml:space="preserve">GEANGA, PAPET DINGCONG </t>
  </si>
  <si>
    <t>UNO-R/ VMA GLOBAL COLLEGE</t>
  </si>
  <si>
    <t>PUROK BEGONIA, BRGY. MIRANDA, PONTEVEDRA, NEGROS OCCIDENTAL</t>
  </si>
  <si>
    <t>SARIO, LAWRENCE BALON</t>
  </si>
  <si>
    <t>0920-6967-833</t>
  </si>
  <si>
    <t>BATOBALANI, PARACALE, CAMARINES NORTE</t>
  </si>
  <si>
    <t>AMELO, JANN RYAN DOLOR</t>
  </si>
  <si>
    <t>0935-913-5406 / 0921-716-3103</t>
  </si>
  <si>
    <t>BLK 6 LOT 23 PHASE 1, NEGROS ORIENTAL ST., VILLA ARSENIA, BRGY. MAMBOG III, BACOOR CITY, CAVITE</t>
  </si>
  <si>
    <t>SEPTEMBER</t>
  </si>
  <si>
    <t>DACLES, JONITH BULAHAN</t>
  </si>
  <si>
    <t>STUDENT OFFICE TRAINEE</t>
  </si>
  <si>
    <t>09477536883 / 09952187079 / 09109329343</t>
  </si>
  <si>
    <t>200 PACHECO ST. BRGY 122 TONDO, CITY OF MANILA</t>
  </si>
  <si>
    <t>GALLAZA, DARYLL TONOY</t>
  </si>
  <si>
    <t>09158896693 / 09260290514</t>
  </si>
  <si>
    <t>B1 L11 MENLO HEIGHTS, TALISAY, NEGROS OCCIDENTAL</t>
  </si>
  <si>
    <t>Crew Widthrawal Highlight</t>
  </si>
  <si>
    <t>TOTAL</t>
  </si>
  <si>
    <t>Salary Related</t>
  </si>
  <si>
    <t>Not for Rehire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</si>
</sst>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212529"/>
      <name val="Roboto"/>
    </font>
    <font>
      <sz val="10"/>
      <color rgb="FF0070C0"/>
      <name val="Calibri"/>
      <family val="2"/>
      <scheme val="minor"/>
    </font>
    <font>
      <sz val="10"/>
      <color rgb="FFFF0000"/>
      <name val="Calibri"/>
      <family val="2"/>
    </font>
    <font>
      <sz val="10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CE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98">
    <xf numFmtId="0" fontId="0" fillId="0" borderId="0" xfId="0"/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2" xfId="0" applyFont="1" applyBorder="1" applyAlignment="1">
      <alignment horizontal="center" vertical="center"/>
    </xf>
    <xf numFmtId="14" fontId="5" fillId="3" borderId="3" xfId="0" applyNumberFormat="1" applyFont="1" applyFill="1" applyBorder="1" applyAlignment="1">
      <alignment horizontal="center" vertical="center"/>
    </xf>
    <xf numFmtId="14" fontId="5" fillId="3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7" fillId="0" borderId="0" xfId="0" applyFont="1"/>
    <xf numFmtId="14" fontId="7" fillId="5" borderId="3" xfId="0" applyNumberFormat="1" applyFont="1" applyFill="1" applyBorder="1" applyAlignment="1">
      <alignment horizontal="center" vertical="center"/>
    </xf>
    <xf numFmtId="49" fontId="7" fillId="5" borderId="3" xfId="0" applyNumberFormat="1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 vertical="center" shrinkToFit="1"/>
    </xf>
    <xf numFmtId="0" fontId="7" fillId="5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 wrapText="1"/>
    </xf>
    <xf numFmtId="2" fontId="7" fillId="5" borderId="3" xfId="0" applyNumberFormat="1" applyFont="1" applyFill="1" applyBorder="1" applyAlignment="1">
      <alignment horizontal="left" vertical="center" wrapText="1"/>
    </xf>
    <xf numFmtId="164" fontId="7" fillId="5" borderId="3" xfId="0" applyNumberFormat="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5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 vertical="center" wrapText="1" shrinkToFit="1"/>
    </xf>
    <xf numFmtId="14" fontId="7" fillId="5" borderId="4" xfId="0" applyNumberFormat="1" applyFont="1" applyFill="1" applyBorder="1" applyAlignment="1">
      <alignment horizontal="center" vertical="center"/>
    </xf>
    <xf numFmtId="49" fontId="7" fillId="5" borderId="4" xfId="0" applyNumberFormat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left" vertical="center" shrinkToFit="1"/>
    </xf>
    <xf numFmtId="0" fontId="7" fillId="5" borderId="4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left" vertical="center" shrinkToFi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14" fontId="7" fillId="7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left" vertical="center" shrinkToFit="1"/>
    </xf>
    <xf numFmtId="0" fontId="10" fillId="7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 wrapText="1"/>
    </xf>
    <xf numFmtId="2" fontId="10" fillId="7" borderId="3" xfId="0" applyNumberFormat="1" applyFont="1" applyFill="1" applyBorder="1" applyAlignment="1">
      <alignment horizontal="left" vertical="center" wrapText="1"/>
    </xf>
    <xf numFmtId="164" fontId="10" fillId="7" borderId="3" xfId="0" applyNumberFormat="1" applyFont="1" applyFill="1" applyBorder="1" applyAlignment="1">
      <alignment horizontal="center" vertical="center"/>
    </xf>
    <xf numFmtId="17" fontId="7" fillId="5" borderId="3" xfId="0" applyNumberFormat="1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2" fontId="7" fillId="5" borderId="4" xfId="0" applyNumberFormat="1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left" vertical="center" shrinkToFit="1"/>
    </xf>
    <xf numFmtId="0" fontId="10" fillId="5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 wrapText="1"/>
    </xf>
    <xf numFmtId="2" fontId="10" fillId="5" borderId="3" xfId="0" applyNumberFormat="1" applyFont="1" applyFill="1" applyBorder="1" applyAlignment="1">
      <alignment horizontal="left" vertical="center" wrapText="1"/>
    </xf>
    <xf numFmtId="164" fontId="10" fillId="5" borderId="3" xfId="0" applyNumberFormat="1" applyFont="1" applyFill="1" applyBorder="1" applyAlignment="1">
      <alignment horizontal="center" vertical="center"/>
    </xf>
    <xf numFmtId="14" fontId="12" fillId="5" borderId="3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14" fontId="1" fillId="2" borderId="1" xfId="1" applyNumberFormat="1" applyFont="1" applyAlignment="1">
      <alignment horizontal="center" vertical="center"/>
    </xf>
    <xf numFmtId="49" fontId="1" fillId="2" borderId="1" xfId="1" applyNumberFormat="1" applyFont="1" applyAlignment="1">
      <alignment horizontal="center" vertical="center"/>
    </xf>
    <xf numFmtId="0" fontId="7" fillId="5" borderId="3" xfId="0" applyFont="1" applyFill="1" applyBorder="1" applyAlignment="1">
      <alignment horizontal="left" vertical="center" wrapText="1"/>
    </xf>
    <xf numFmtId="14" fontId="13" fillId="8" borderId="3" xfId="0" applyNumberFormat="1" applyFont="1" applyFill="1" applyBorder="1" applyAlignment="1">
      <alignment horizontal="center" vertical="center"/>
    </xf>
    <xf numFmtId="14" fontId="14" fillId="8" borderId="3" xfId="0" applyNumberFormat="1" applyFont="1" applyFill="1" applyBorder="1" applyAlignment="1">
      <alignment horizontal="center" vertical="center"/>
    </xf>
    <xf numFmtId="49" fontId="14" fillId="8" borderId="3" xfId="0" applyNumberFormat="1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7" fillId="0" borderId="3" xfId="0" applyFont="1" applyBorder="1"/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164" fontId="7" fillId="5" borderId="4" xfId="0" applyNumberFormat="1" applyFont="1" applyFill="1" applyBorder="1" applyAlignment="1">
      <alignment horizontal="center" vertical="center"/>
    </xf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9" fillId="0" borderId="0" xfId="0" applyFont="1" applyAlignment="1">
      <alignment horizontal="left" vertical="center" shrinkToFit="1"/>
    </xf>
    <xf numFmtId="0" fontId="9" fillId="0" borderId="0" xfId="0" applyFont="1" applyAlignment="1">
      <alignment horizontal="center" vertical="center" wrapText="1"/>
    </xf>
    <xf numFmtId="0" fontId="7" fillId="9" borderId="0" xfId="0" applyFont="1" applyFill="1" applyAlignment="1">
      <alignment horizontal="right" vertical="center" shrinkToFit="1"/>
    </xf>
    <xf numFmtId="0" fontId="0" fillId="9" borderId="0" xfId="0" applyFill="1"/>
    <xf numFmtId="0" fontId="0" fillId="9" borderId="0" xfId="0" applyFill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10" borderId="0" xfId="0" applyFont="1" applyFill="1" applyAlignment="1">
      <alignment horizontal="right" vertical="center" shrinkToFit="1"/>
    </xf>
    <xf numFmtId="0" fontId="0" fillId="10" borderId="0" xfId="0" applyFill="1"/>
    <xf numFmtId="0" fontId="0" fillId="10" borderId="0" xfId="0" applyFill="1" applyAlignment="1">
      <alignment horizontal="center"/>
    </xf>
    <xf numFmtId="0" fontId="7" fillId="11" borderId="0" xfId="0" applyFont="1" applyFill="1" applyAlignment="1">
      <alignment horizontal="right" vertical="center" shrinkToFit="1"/>
    </xf>
    <xf numFmtId="0" fontId="0" fillId="11" borderId="0" xfId="0" applyFill="1"/>
    <xf numFmtId="0" fontId="0" fillId="11" borderId="0" xfId="0" applyFill="1" applyAlignment="1">
      <alignment horizontal="center"/>
    </xf>
    <xf numFmtId="0" fontId="7" fillId="6" borderId="0" xfId="0" applyFont="1" applyFill="1" applyAlignment="1">
      <alignment horizontal="right" vertical="center" shrinkToFit="1"/>
    </xf>
    <xf numFmtId="0" fontId="0" fillId="5" borderId="0" xfId="0" applyFill="1"/>
    <xf numFmtId="0" fontId="0" fillId="6" borderId="0" xfId="0" applyFill="1" applyAlignment="1">
      <alignment horizontal="center"/>
    </xf>
    <xf numFmtId="0" fontId="9" fillId="12" borderId="12" xfId="0" applyFont="1" applyFill="1" applyBorder="1" applyAlignment="1">
      <alignment horizontal="right" vertical="center" shrinkToFit="1"/>
    </xf>
    <xf numFmtId="0" fontId="0" fillId="12" borderId="12" xfId="0" applyFill="1" applyBorder="1"/>
    <xf numFmtId="0" fontId="3" fillId="12" borderId="12" xfId="0" applyFont="1" applyFill="1" applyBorder="1" applyAlignment="1">
      <alignment horizontal="center"/>
    </xf>
  </cellXfs>
  <cellStyles count="2">
    <cellStyle name="Input" xfId="1" builtinId="20"/>
    <cellStyle name="Normal" xfId="0" builtinId="0"/>
  </cellStyles>
  <dxfs count="258">
    <dxf>
      <fill>
        <patternFill>
          <bgColor theme="0" tint="-4.9989318521683403E-2"/>
        </patternFill>
      </fill>
    </dxf>
    <dxf>
      <fill>
        <patternFill>
          <bgColor rgb="FFFFCC99"/>
        </patternFill>
      </fill>
    </dxf>
    <dxf>
      <fill>
        <patternFill>
          <bgColor rgb="FFFFFFCC"/>
        </patternFill>
      </fill>
    </dxf>
    <dxf>
      <fill>
        <patternFill>
          <bgColor rgb="FFFFCC99"/>
        </patternFill>
      </fill>
    </dxf>
    <dxf>
      <fill>
        <patternFill>
          <bgColor rgb="FF99FFCC"/>
        </patternFill>
      </fill>
    </dxf>
    <dxf>
      <fill>
        <patternFill>
          <bgColor rgb="FFFFCC99"/>
        </patternFill>
      </fill>
    </dxf>
    <dxf>
      <fill>
        <patternFill>
          <bgColor rgb="FFFFFFCC"/>
        </patternFill>
      </fill>
    </dxf>
    <dxf>
      <fill>
        <patternFill>
          <bgColor rgb="FF99FFCC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99FFCC"/>
        </patternFill>
      </fill>
    </dxf>
    <dxf>
      <fill>
        <patternFill>
          <bgColor rgb="FFFFCC99"/>
        </patternFill>
      </fill>
    </dxf>
    <dxf>
      <fill>
        <patternFill>
          <bgColor rgb="FFFFFFCC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CC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99FFCC"/>
        </patternFill>
      </fill>
    </dxf>
    <dxf>
      <fill>
        <patternFill>
          <bgColor rgb="FFFFCC99"/>
        </patternFill>
      </fill>
    </dxf>
    <dxf>
      <fill>
        <patternFill>
          <bgColor rgb="FF99FFCC"/>
        </patternFill>
      </fill>
    </dxf>
    <dxf>
      <fill>
        <patternFill>
          <bgColor rgb="FFFFFFCC"/>
        </patternFill>
      </fill>
    </dxf>
    <dxf>
      <fill>
        <patternFill>
          <bgColor rgb="FFFFCC99"/>
        </patternFill>
      </fill>
    </dxf>
    <dxf>
      <fill>
        <patternFill>
          <bgColor rgb="FFFFFFCC"/>
        </patternFill>
      </fill>
    </dxf>
    <dxf>
      <fill>
        <patternFill>
          <bgColor rgb="FFFFCC99"/>
        </patternFill>
      </fill>
    </dxf>
    <dxf>
      <fill>
        <patternFill>
          <bgColor rgb="FF99FFCC"/>
        </patternFill>
      </fill>
    </dxf>
    <dxf>
      <fill>
        <patternFill>
          <bgColor rgb="FFFFCC99"/>
        </patternFill>
      </fill>
    </dxf>
    <dxf>
      <fill>
        <patternFill>
          <bgColor theme="0" tint="-4.9989318521683403E-2"/>
        </patternFill>
      </fill>
    </dxf>
    <dxf>
      <fill>
        <patternFill>
          <bgColor rgb="FF99FFCC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FFCC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FFCC"/>
        </patternFill>
      </fill>
    </dxf>
    <dxf>
      <fill>
        <patternFill>
          <bgColor rgb="FF99FFCC"/>
        </patternFill>
      </fill>
    </dxf>
    <dxf>
      <fill>
        <patternFill>
          <bgColor rgb="FFFFCC99"/>
        </patternFill>
      </fill>
    </dxf>
    <dxf>
      <fill>
        <patternFill>
          <bgColor rgb="FFFFFFCC"/>
        </patternFill>
      </fill>
    </dxf>
    <dxf>
      <fill>
        <patternFill>
          <bgColor rgb="FFFFCC99"/>
        </patternFill>
      </fill>
    </dxf>
    <dxf>
      <fill>
        <patternFill>
          <bgColor rgb="FF99FFCC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CC"/>
        </patternFill>
      </fill>
    </dxf>
    <dxf>
      <fill>
        <patternFill>
          <bgColor rgb="FFFFCC99"/>
        </patternFill>
      </fill>
    </dxf>
    <dxf>
      <fill>
        <patternFill>
          <bgColor rgb="FF99FFCC"/>
        </patternFill>
      </fill>
    </dxf>
    <dxf>
      <fill>
        <patternFill>
          <bgColor rgb="FFFFCC99"/>
        </patternFill>
      </fill>
    </dxf>
    <dxf>
      <fill>
        <patternFill>
          <bgColor rgb="FFFFFFCC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C99"/>
        </patternFill>
      </fill>
    </dxf>
    <dxf>
      <fill>
        <patternFill>
          <bgColor rgb="FF99FFCC"/>
        </patternFill>
      </fill>
    </dxf>
    <dxf>
      <fill>
        <patternFill>
          <bgColor rgb="FFFFCC99"/>
        </patternFill>
      </fill>
    </dxf>
    <dxf>
      <fill>
        <patternFill>
          <bgColor theme="0" tint="-4.9989318521683403E-2"/>
        </patternFill>
      </fill>
    </dxf>
    <dxf>
      <fill>
        <patternFill>
          <bgColor rgb="FF99FFCC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FFCC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CC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99FFCC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99FFCC"/>
        </patternFill>
      </fill>
    </dxf>
    <dxf>
      <fill>
        <patternFill>
          <bgColor rgb="FFFFFFCC"/>
        </patternFill>
      </fill>
    </dxf>
    <dxf>
      <fill>
        <patternFill>
          <bgColor theme="0" tint="-4.9989318521683403E-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99FFCC"/>
        </patternFill>
      </fill>
    </dxf>
    <dxf>
      <fill>
        <patternFill>
          <bgColor rgb="FFFFCC99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CC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99FFCC"/>
        </patternFill>
      </fill>
    </dxf>
    <dxf>
      <fill>
        <patternFill>
          <bgColor rgb="FFFFCC99"/>
        </patternFill>
      </fill>
    </dxf>
    <dxf>
      <fill>
        <patternFill>
          <bgColor rgb="FFFFFFCC"/>
        </patternFill>
      </fill>
    </dxf>
    <dxf>
      <fill>
        <patternFill>
          <bgColor rgb="FFFFCC99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FFCC99"/>
        </patternFill>
      </fill>
    </dxf>
    <dxf>
      <fill>
        <patternFill>
          <bgColor rgb="FF99FFCC"/>
        </patternFill>
      </fill>
    </dxf>
    <dxf>
      <fill>
        <patternFill>
          <bgColor rgb="FFFFFFCC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99FFCC"/>
        </patternFill>
      </fill>
    </dxf>
    <dxf>
      <fill>
        <patternFill>
          <bgColor rgb="FFFFCC99"/>
        </patternFill>
      </fill>
    </dxf>
    <dxf>
      <fill>
        <patternFill>
          <bgColor rgb="FFFFFFCC"/>
        </patternFill>
      </fill>
    </dxf>
    <dxf>
      <fill>
        <patternFill>
          <bgColor rgb="FF99FFCC"/>
        </patternFill>
      </fill>
    </dxf>
    <dxf>
      <fill>
        <patternFill>
          <bgColor rgb="FFFFFFCC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C99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CC"/>
        </patternFill>
      </fill>
    </dxf>
    <dxf>
      <fill>
        <patternFill>
          <bgColor rgb="FF99FFCC"/>
        </patternFill>
      </fill>
    </dxf>
    <dxf>
      <fill>
        <patternFill>
          <bgColor rgb="FFFFCC99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C99"/>
        </patternFill>
      </fill>
    </dxf>
    <dxf>
      <fill>
        <patternFill>
          <bgColor rgb="FFFFFFCC"/>
        </patternFill>
      </fill>
    </dxf>
    <dxf>
      <fill>
        <patternFill>
          <bgColor rgb="FFFFCC99"/>
        </patternFill>
      </fill>
    </dxf>
    <dxf>
      <fill>
        <patternFill>
          <bgColor theme="0" tint="-4.9989318521683403E-2"/>
        </patternFill>
      </fill>
    </dxf>
    <dxf>
      <fill>
        <patternFill>
          <bgColor rgb="FF99FFCC"/>
        </patternFill>
      </fill>
    </dxf>
    <dxf>
      <fill>
        <patternFill>
          <bgColor rgb="FFFFCC9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C99"/>
        </patternFill>
      </fill>
    </dxf>
    <dxf>
      <fill>
        <patternFill>
          <bgColor rgb="FF99FFCC"/>
        </patternFill>
      </fill>
    </dxf>
    <dxf>
      <fill>
        <patternFill>
          <bgColor rgb="FFFFCC99"/>
        </patternFill>
      </fill>
    </dxf>
    <dxf>
      <fill>
        <patternFill>
          <bgColor rgb="FFFFFFCC"/>
        </patternFill>
      </fill>
    </dxf>
    <dxf>
      <fill>
        <patternFill>
          <bgColor rgb="FF99FFCC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theme="0" tint="-4.9989318521683403E-2"/>
        </patternFill>
      </fill>
    </dxf>
    <dxf>
      <fill>
        <patternFill>
          <bgColor rgb="FF99FFCC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CC"/>
        </patternFill>
      </fill>
    </dxf>
    <dxf>
      <fill>
        <patternFill>
          <bgColor rgb="FFFFCC99"/>
        </patternFill>
      </fill>
    </dxf>
    <dxf>
      <fill>
        <patternFill>
          <bgColor rgb="FF99FFCC"/>
        </patternFill>
      </fill>
    </dxf>
    <dxf>
      <fill>
        <patternFill>
          <bgColor rgb="FFFFCC9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CC"/>
        </patternFill>
      </fill>
    </dxf>
    <dxf>
      <fill>
        <patternFill>
          <bgColor rgb="FFFFCC9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CC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FFCC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99FFCC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FFCC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99FFCC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CC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FFCC"/>
        </patternFill>
      </fill>
    </dxf>
    <dxf>
      <fill>
        <patternFill>
          <bgColor rgb="FF99FFCC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FFCC"/>
        </patternFill>
      </fill>
    </dxf>
    <dxf>
      <fill>
        <patternFill>
          <bgColor theme="0" tint="-4.9989318521683403E-2"/>
        </patternFill>
      </fill>
    </dxf>
    <dxf>
      <fill>
        <patternFill>
          <bgColor rgb="FF99FFCC"/>
        </patternFill>
      </fill>
    </dxf>
    <dxf>
      <fill>
        <patternFill>
          <bgColor rgb="FFFFCC99"/>
        </patternFill>
      </fill>
    </dxf>
    <dxf>
      <fill>
        <patternFill>
          <bgColor rgb="FF99FFCC"/>
        </patternFill>
      </fill>
    </dxf>
    <dxf>
      <fill>
        <patternFill>
          <bgColor rgb="FFFFCC99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CC"/>
        </patternFill>
      </fill>
    </dxf>
    <dxf>
      <fill>
        <patternFill>
          <bgColor rgb="FFFFCC99"/>
        </patternFill>
      </fill>
    </dxf>
    <dxf>
      <fill>
        <patternFill>
          <bgColor rgb="FF99FFCC"/>
        </patternFill>
      </fill>
    </dxf>
    <dxf>
      <fill>
        <patternFill>
          <bgColor rgb="FFFFCC99"/>
        </patternFill>
      </fill>
    </dxf>
    <dxf>
      <fill>
        <patternFill>
          <bgColor rgb="FF99FFCC"/>
        </patternFill>
      </fill>
    </dxf>
    <dxf>
      <fill>
        <patternFill>
          <bgColor rgb="FFFFCC99"/>
        </patternFill>
      </fill>
    </dxf>
    <dxf>
      <fill>
        <patternFill>
          <bgColor rgb="FFFFFFCC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C99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C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CC"/>
        </patternFill>
      </fill>
    </dxf>
    <dxf>
      <fill>
        <patternFill>
          <bgColor rgb="FFFFCC99"/>
        </patternFill>
      </fill>
    </dxf>
    <dxf>
      <fill>
        <patternFill>
          <bgColor rgb="FFFFFFCC"/>
        </patternFill>
      </fill>
    </dxf>
    <dxf>
      <fill>
        <patternFill>
          <bgColor rgb="FFFFCC9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C99"/>
        </patternFill>
      </fill>
    </dxf>
    <dxf>
      <fill>
        <patternFill>
          <bgColor rgb="FF99FFCC"/>
        </patternFill>
      </fill>
    </dxf>
    <dxf>
      <fill>
        <patternFill>
          <bgColor rgb="FFFFCC99"/>
        </patternFill>
      </fill>
    </dxf>
    <dxf>
      <fill>
        <patternFill>
          <bgColor rgb="FFFFFFCC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C9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C99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C99"/>
        </patternFill>
      </fill>
    </dxf>
    <dxf>
      <fill>
        <patternFill>
          <bgColor rgb="FFFFFFCC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CC"/>
        </patternFill>
      </fill>
    </dxf>
    <dxf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99FFCC"/>
        </patternFill>
      </fill>
    </dxf>
    <dxf>
      <fill>
        <patternFill>
          <bgColor rgb="FFFFFFCC"/>
        </patternFill>
      </fill>
    </dxf>
    <dxf>
      <fill>
        <patternFill>
          <bgColor rgb="FF99FFCC"/>
        </patternFill>
      </fill>
    </dxf>
    <dxf>
      <fill>
        <patternFill>
          <bgColor rgb="FFFFCC9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99FFCC"/>
        </patternFill>
      </fill>
    </dxf>
    <dxf>
      <fill>
        <patternFill>
          <bgColor rgb="FFFFCC99"/>
        </patternFill>
      </fill>
    </dxf>
    <dxf>
      <fill>
        <patternFill>
          <bgColor rgb="FF99FFCC"/>
        </patternFill>
      </fill>
    </dxf>
    <dxf>
      <fill>
        <patternFill>
          <bgColor rgb="FFFFFFCC"/>
        </patternFill>
      </fill>
    </dxf>
    <dxf>
      <fill>
        <patternFill>
          <bgColor rgb="FF99FFCC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C99"/>
        </patternFill>
      </fill>
    </dxf>
    <dxf>
      <fill>
        <patternFill>
          <bgColor rgb="FFFFFFCC"/>
        </patternFill>
      </fill>
    </dxf>
    <dxf>
      <fill>
        <patternFill>
          <bgColor rgb="FFFFCC99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C99"/>
        </patternFill>
      </fill>
    </dxf>
    <dxf>
      <fill>
        <patternFill>
          <bgColor rgb="FFFFFFCC"/>
        </patternFill>
      </fill>
    </dxf>
    <dxf>
      <fill>
        <patternFill>
          <bgColor rgb="FFFFCC99"/>
        </patternFill>
      </fill>
    </dxf>
    <dxf>
      <fill>
        <patternFill>
          <bgColor rgb="FFFFFFCC"/>
        </patternFill>
      </fill>
    </dxf>
    <dxf>
      <fill>
        <patternFill>
          <bgColor rgb="FFFFCC99"/>
        </patternFill>
      </fill>
    </dxf>
    <dxf>
      <fill>
        <patternFill>
          <bgColor rgb="FF99FFCC"/>
        </patternFill>
      </fill>
    </dxf>
    <dxf>
      <fill>
        <patternFill>
          <bgColor rgb="FFFFCC99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3EE42-5753-4C54-8C3C-1E9B2F0AB4C2}">
  <sheetPr>
    <pageSetUpPr fitToPage="1"/>
  </sheetPr>
  <dimension ref="A1:AE185"/>
  <sheetViews>
    <sheetView tabSelected="1" zoomScaleNormal="100" zoomScaleSheetLayoutView="90" workbookViewId="0">
      <selection activeCell="Q105" sqref="Q105"/>
    </sheetView>
  </sheetViews>
  <sheetFormatPr defaultRowHeight="15" x14ac:dyDescent="0.25"/>
  <cols>
    <col min="1" max="1" width="7.28515625" customWidth="1"/>
    <col min="2" max="2" width="15" style="77" customWidth="1"/>
    <col min="3" max="4" width="15" style="77" hidden="1" customWidth="1"/>
    <col min="5" max="5" width="18.140625" style="77" hidden="1" customWidth="1"/>
    <col min="6" max="6" width="32.42578125" bestFit="1" customWidth="1"/>
    <col min="7" max="7" width="4.7109375" customWidth="1"/>
    <col min="8" max="8" width="20.28515625" customWidth="1"/>
    <col min="9" max="9" width="6.28515625" customWidth="1"/>
    <col min="10" max="10" width="14.42578125" customWidth="1"/>
    <col min="11" max="11" width="8.85546875" customWidth="1"/>
    <col min="12" max="12" width="17" customWidth="1"/>
    <col min="13" max="13" width="24.5703125" customWidth="1"/>
    <col min="14" max="14" width="20.140625" customWidth="1"/>
    <col min="15" max="15" width="12.85546875" customWidth="1"/>
    <col min="16" max="16" width="9.5703125" customWidth="1"/>
    <col min="17" max="17" width="10.28515625" customWidth="1"/>
    <col min="18" max="18" width="9.42578125" customWidth="1"/>
    <col min="19" max="19" width="6.7109375" customWidth="1"/>
    <col min="20" max="20" width="4.7109375" customWidth="1"/>
    <col min="21" max="21" width="5.140625" customWidth="1"/>
    <col min="22" max="22" width="16.85546875" style="3" customWidth="1"/>
    <col min="23" max="23" width="2.140625" customWidth="1"/>
    <col min="24" max="24" width="1.85546875" customWidth="1"/>
    <col min="25" max="25" width="8" customWidth="1"/>
    <col min="26" max="26" width="8.42578125" customWidth="1"/>
    <col min="27" max="27" width="22.7109375" customWidth="1"/>
    <col min="28" max="28" width="17.140625" style="4" customWidth="1"/>
    <col min="29" max="29" width="65.42578125" bestFit="1" customWidth="1"/>
    <col min="30" max="30" width="17" customWidth="1"/>
  </cols>
  <sheetData>
    <row r="1" spans="1:30" x14ac:dyDescent="0.25">
      <c r="B1" s="1" t="s">
        <v>0</v>
      </c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 x14ac:dyDescent="0.25">
      <c r="B2" s="5" t="s">
        <v>1</v>
      </c>
      <c r="C2" s="5"/>
      <c r="D2" s="5"/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30" x14ac:dyDescent="0.25">
      <c r="B3" s="5" t="s">
        <v>2</v>
      </c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5" spans="1:30" s="16" customFormat="1" ht="15" customHeight="1" x14ac:dyDescent="0.25">
      <c r="A5" s="7">
        <v>1</v>
      </c>
      <c r="B5" s="8" t="s">
        <v>3</v>
      </c>
      <c r="C5" s="9"/>
      <c r="D5" s="9"/>
      <c r="E5" s="9"/>
      <c r="F5" s="10" t="s">
        <v>4</v>
      </c>
      <c r="G5" s="10" t="s">
        <v>5</v>
      </c>
      <c r="H5" s="10" t="s">
        <v>6</v>
      </c>
      <c r="I5" s="10" t="s">
        <v>7</v>
      </c>
      <c r="J5" s="10" t="s">
        <v>8</v>
      </c>
      <c r="K5" s="11" t="s">
        <v>9</v>
      </c>
      <c r="L5" s="12" t="s">
        <v>10</v>
      </c>
      <c r="M5" s="10" t="s">
        <v>11</v>
      </c>
      <c r="N5" s="11" t="s">
        <v>12</v>
      </c>
      <c r="O5" s="11"/>
      <c r="P5" s="11" t="s">
        <v>13</v>
      </c>
      <c r="Q5" s="10" t="s">
        <v>14</v>
      </c>
      <c r="R5" s="13" t="s">
        <v>15</v>
      </c>
      <c r="S5" s="14"/>
      <c r="T5" s="14"/>
      <c r="U5" s="15"/>
      <c r="V5" s="11" t="s">
        <v>16</v>
      </c>
      <c r="AA5" s="16" t="s">
        <v>17</v>
      </c>
      <c r="AB5" s="17" t="s">
        <v>18</v>
      </c>
      <c r="AC5" s="17" t="s">
        <v>19</v>
      </c>
      <c r="AD5" s="18" t="s">
        <v>20</v>
      </c>
    </row>
    <row r="6" spans="1:30" s="16" customFormat="1" ht="16.5" customHeight="1" x14ac:dyDescent="0.25">
      <c r="A6" s="7"/>
      <c r="B6" s="8"/>
      <c r="C6" s="9"/>
      <c r="D6" s="9" t="s">
        <v>21</v>
      </c>
      <c r="E6" s="9" t="s">
        <v>22</v>
      </c>
      <c r="F6" s="10"/>
      <c r="G6" s="10"/>
      <c r="H6" s="10"/>
      <c r="I6" s="10"/>
      <c r="J6" s="10"/>
      <c r="K6" s="11"/>
      <c r="L6" s="19"/>
      <c r="M6" s="10"/>
      <c r="N6" s="11"/>
      <c r="O6" s="11"/>
      <c r="P6" s="11"/>
      <c r="Q6" s="10"/>
      <c r="R6" s="20" t="s">
        <v>23</v>
      </c>
      <c r="S6" s="21" t="s">
        <v>24</v>
      </c>
      <c r="T6" s="21" t="s">
        <v>25</v>
      </c>
      <c r="U6" s="22" t="s">
        <v>26</v>
      </c>
      <c r="V6" s="11"/>
      <c r="Y6" s="16" t="s">
        <v>27</v>
      </c>
      <c r="Z6" s="16" t="s">
        <v>28</v>
      </c>
      <c r="AA6" s="16" t="s">
        <v>29</v>
      </c>
      <c r="AB6" s="23"/>
      <c r="AC6" s="23"/>
      <c r="AD6" s="24"/>
    </row>
    <row r="7" spans="1:30" ht="54.75" customHeight="1" x14ac:dyDescent="0.25">
      <c r="A7" s="25">
        <v>1</v>
      </c>
      <c r="B7" s="26" t="s">
        <v>30</v>
      </c>
      <c r="C7" s="26"/>
      <c r="D7" s="26"/>
      <c r="E7" s="27"/>
      <c r="F7" s="28" t="s">
        <v>31</v>
      </c>
      <c r="G7" s="29">
        <v>62</v>
      </c>
      <c r="H7" s="30" t="s">
        <v>32</v>
      </c>
      <c r="I7" s="29" t="s">
        <v>33</v>
      </c>
      <c r="J7" s="30" t="s">
        <v>34</v>
      </c>
      <c r="K7" s="29">
        <v>22</v>
      </c>
      <c r="L7" s="30" t="s">
        <v>35</v>
      </c>
      <c r="M7" s="31" t="s">
        <v>36</v>
      </c>
      <c r="N7" s="30"/>
      <c r="O7" s="32"/>
      <c r="P7" s="32"/>
      <c r="Q7" s="32" t="str">
        <f t="shared" ref="Q7:Q37" si="0">IF(O7="","NO DATA",P7-O7)</f>
        <v>NO DATA</v>
      </c>
      <c r="R7" s="29" t="s">
        <v>37</v>
      </c>
      <c r="S7" s="29" t="s">
        <v>37</v>
      </c>
      <c r="T7" s="29" t="s">
        <v>37</v>
      </c>
      <c r="U7" s="29" t="s">
        <v>37</v>
      </c>
      <c r="V7" s="33" t="s">
        <v>36</v>
      </c>
      <c r="W7" s="25"/>
      <c r="X7" s="25"/>
      <c r="Y7" s="34" t="s">
        <v>38</v>
      </c>
      <c r="Z7" s="34" t="s">
        <v>39</v>
      </c>
      <c r="AA7" s="35" t="s">
        <v>40</v>
      </c>
      <c r="AB7" s="36">
        <v>9289378984</v>
      </c>
      <c r="AC7" s="36" t="s">
        <v>41</v>
      </c>
      <c r="AD7" s="37" t="s">
        <v>42</v>
      </c>
    </row>
    <row r="8" spans="1:30" ht="54.75" customHeight="1" x14ac:dyDescent="0.25">
      <c r="A8" s="25">
        <v>2</v>
      </c>
      <c r="B8" s="26" t="s">
        <v>30</v>
      </c>
      <c r="C8" s="26"/>
      <c r="D8" s="26"/>
      <c r="E8" s="27"/>
      <c r="F8" s="28" t="s">
        <v>43</v>
      </c>
      <c r="G8" s="29">
        <v>32</v>
      </c>
      <c r="H8" s="30" t="s">
        <v>44</v>
      </c>
      <c r="I8" s="29" t="s">
        <v>45</v>
      </c>
      <c r="J8" s="30" t="s">
        <v>46</v>
      </c>
      <c r="K8" s="29">
        <v>8</v>
      </c>
      <c r="L8" s="30" t="s">
        <v>47</v>
      </c>
      <c r="M8" s="31" t="s">
        <v>48</v>
      </c>
      <c r="N8" s="30" t="s">
        <v>49</v>
      </c>
      <c r="O8" s="32"/>
      <c r="P8" s="32"/>
      <c r="Q8" s="32" t="str">
        <f t="shared" si="0"/>
        <v>NO DATA</v>
      </c>
      <c r="R8" s="29" t="s">
        <v>37</v>
      </c>
      <c r="S8" s="29" t="s">
        <v>37</v>
      </c>
      <c r="T8" s="29" t="s">
        <v>37</v>
      </c>
      <c r="U8" s="29" t="s">
        <v>37</v>
      </c>
      <c r="V8" s="38" t="s">
        <v>50</v>
      </c>
      <c r="W8" s="25"/>
      <c r="X8" s="25"/>
      <c r="Y8" s="34" t="s">
        <v>38</v>
      </c>
      <c r="Z8" s="34" t="s">
        <v>51</v>
      </c>
      <c r="AA8" s="35" t="s">
        <v>52</v>
      </c>
      <c r="AB8" s="36">
        <v>9664089210</v>
      </c>
      <c r="AC8" s="36" t="s">
        <v>53</v>
      </c>
      <c r="AD8" s="37" t="s">
        <v>42</v>
      </c>
    </row>
    <row r="9" spans="1:30" ht="54.75" customHeight="1" x14ac:dyDescent="0.25">
      <c r="A9" s="25">
        <v>3</v>
      </c>
      <c r="B9" s="26" t="s">
        <v>30</v>
      </c>
      <c r="C9" s="26"/>
      <c r="D9" s="26"/>
      <c r="E9" s="27"/>
      <c r="F9" s="28" t="s">
        <v>54</v>
      </c>
      <c r="G9" s="29">
        <v>40</v>
      </c>
      <c r="H9" s="30" t="s">
        <v>32</v>
      </c>
      <c r="I9" s="29" t="s">
        <v>55</v>
      </c>
      <c r="J9" s="30" t="s">
        <v>56</v>
      </c>
      <c r="K9" s="29">
        <v>3</v>
      </c>
      <c r="L9" s="30" t="s">
        <v>35</v>
      </c>
      <c r="M9" s="31" t="s">
        <v>57</v>
      </c>
      <c r="N9" s="30" t="s">
        <v>49</v>
      </c>
      <c r="O9" s="32"/>
      <c r="P9" s="32"/>
      <c r="Q9" s="32" t="str">
        <f t="shared" si="0"/>
        <v>NO DATA</v>
      </c>
      <c r="R9" s="29" t="s">
        <v>37</v>
      </c>
      <c r="S9" s="29" t="s">
        <v>37</v>
      </c>
      <c r="T9" s="29" t="s">
        <v>37</v>
      </c>
      <c r="U9" s="29" t="s">
        <v>37</v>
      </c>
      <c r="V9" s="38" t="s">
        <v>50</v>
      </c>
      <c r="W9" s="25"/>
      <c r="X9" s="25"/>
      <c r="Y9" s="34" t="s">
        <v>58</v>
      </c>
      <c r="Z9" s="34" t="s">
        <v>51</v>
      </c>
      <c r="AA9" s="35" t="s">
        <v>52</v>
      </c>
      <c r="AB9" s="36" t="s">
        <v>59</v>
      </c>
      <c r="AC9" s="36" t="s">
        <v>60</v>
      </c>
      <c r="AD9" s="37" t="s">
        <v>42</v>
      </c>
    </row>
    <row r="10" spans="1:30" ht="54.75" customHeight="1" x14ac:dyDescent="0.25">
      <c r="A10" s="25">
        <v>4</v>
      </c>
      <c r="B10" s="26" t="s">
        <v>61</v>
      </c>
      <c r="C10" s="27"/>
      <c r="D10" s="26"/>
      <c r="E10" s="27"/>
      <c r="F10" s="28" t="s">
        <v>62</v>
      </c>
      <c r="G10" s="29">
        <v>51</v>
      </c>
      <c r="H10" s="30" t="s">
        <v>32</v>
      </c>
      <c r="I10" s="29" t="s">
        <v>63</v>
      </c>
      <c r="J10" s="30" t="s">
        <v>64</v>
      </c>
      <c r="K10" s="29">
        <v>21</v>
      </c>
      <c r="L10" s="30" t="s">
        <v>65</v>
      </c>
      <c r="M10" s="31" t="s">
        <v>66</v>
      </c>
      <c r="N10" s="30" t="s">
        <v>49</v>
      </c>
      <c r="O10" s="32"/>
      <c r="P10" s="32"/>
      <c r="Q10" s="32" t="str">
        <f t="shared" si="0"/>
        <v>NO DATA</v>
      </c>
      <c r="R10" s="29" t="s">
        <v>37</v>
      </c>
      <c r="S10" s="29" t="s">
        <v>37</v>
      </c>
      <c r="T10" s="29" t="s">
        <v>37</v>
      </c>
      <c r="U10" s="29" t="s">
        <v>37</v>
      </c>
      <c r="V10" s="38" t="s">
        <v>50</v>
      </c>
      <c r="W10" s="25"/>
      <c r="X10" s="25"/>
      <c r="Y10" s="34" t="s">
        <v>38</v>
      </c>
      <c r="Z10" s="34" t="s">
        <v>51</v>
      </c>
      <c r="AA10" s="35" t="s">
        <v>52</v>
      </c>
      <c r="AB10" s="36" t="s">
        <v>67</v>
      </c>
      <c r="AC10" s="36" t="s">
        <v>68</v>
      </c>
      <c r="AD10" s="37" t="s">
        <v>42</v>
      </c>
    </row>
    <row r="11" spans="1:30" ht="54.75" customHeight="1" x14ac:dyDescent="0.25">
      <c r="A11" s="25">
        <v>5</v>
      </c>
      <c r="B11" s="26" t="s">
        <v>61</v>
      </c>
      <c r="C11" s="26"/>
      <c r="D11" s="26"/>
      <c r="E11" s="27"/>
      <c r="F11" s="28" t="s">
        <v>69</v>
      </c>
      <c r="G11" s="29">
        <v>28</v>
      </c>
      <c r="H11" s="30" t="s">
        <v>70</v>
      </c>
      <c r="I11" s="29" t="s">
        <v>71</v>
      </c>
      <c r="J11" s="30" t="s">
        <v>72</v>
      </c>
      <c r="K11" s="29">
        <v>7</v>
      </c>
      <c r="L11" s="30" t="s">
        <v>73</v>
      </c>
      <c r="M11" s="31" t="s">
        <v>74</v>
      </c>
      <c r="N11" s="30" t="s">
        <v>49</v>
      </c>
      <c r="O11" s="32"/>
      <c r="P11" s="32"/>
      <c r="Q11" s="32" t="str">
        <f t="shared" si="0"/>
        <v>NO DATA</v>
      </c>
      <c r="R11" s="29" t="s">
        <v>37</v>
      </c>
      <c r="S11" s="29" t="s">
        <v>37</v>
      </c>
      <c r="T11" s="29" t="s">
        <v>37</v>
      </c>
      <c r="U11" s="29" t="s">
        <v>37</v>
      </c>
      <c r="V11" s="38" t="s">
        <v>50</v>
      </c>
      <c r="W11" s="25"/>
      <c r="X11" s="25"/>
      <c r="Y11" s="34" t="s">
        <v>58</v>
      </c>
      <c r="Z11" s="34" t="s">
        <v>51</v>
      </c>
      <c r="AA11" s="35" t="s">
        <v>52</v>
      </c>
      <c r="AB11" s="36">
        <v>9461169911</v>
      </c>
      <c r="AC11" s="36" t="s">
        <v>75</v>
      </c>
      <c r="AD11" s="37" t="s">
        <v>42</v>
      </c>
    </row>
    <row r="12" spans="1:30" ht="54.75" customHeight="1" x14ac:dyDescent="0.25">
      <c r="A12" s="25">
        <v>6</v>
      </c>
      <c r="B12" s="26" t="s">
        <v>61</v>
      </c>
      <c r="C12" s="26"/>
      <c r="D12" s="26"/>
      <c r="E12" s="27"/>
      <c r="F12" s="28" t="s">
        <v>76</v>
      </c>
      <c r="G12" s="29">
        <v>28</v>
      </c>
      <c r="H12" s="30" t="s">
        <v>32</v>
      </c>
      <c r="I12" s="29" t="s">
        <v>77</v>
      </c>
      <c r="J12" s="30" t="s">
        <v>78</v>
      </c>
      <c r="K12" s="29">
        <v>20</v>
      </c>
      <c r="L12" s="30" t="s">
        <v>35</v>
      </c>
      <c r="M12" s="31" t="s">
        <v>79</v>
      </c>
      <c r="N12" s="30" t="s">
        <v>49</v>
      </c>
      <c r="O12" s="32"/>
      <c r="P12" s="32"/>
      <c r="Q12" s="32" t="str">
        <f t="shared" si="0"/>
        <v>NO DATA</v>
      </c>
      <c r="R12" s="29" t="s">
        <v>37</v>
      </c>
      <c r="S12" s="29" t="s">
        <v>37</v>
      </c>
      <c r="T12" s="29" t="s">
        <v>37</v>
      </c>
      <c r="U12" s="29" t="s">
        <v>37</v>
      </c>
      <c r="V12" s="38" t="s">
        <v>50</v>
      </c>
      <c r="W12" s="25"/>
      <c r="X12" s="25"/>
      <c r="Y12" s="34" t="s">
        <v>38</v>
      </c>
      <c r="Z12" s="34" t="s">
        <v>39</v>
      </c>
      <c r="AA12" s="35" t="s">
        <v>52</v>
      </c>
      <c r="AB12" s="36">
        <v>9690267093</v>
      </c>
      <c r="AC12" s="36" t="s">
        <v>80</v>
      </c>
      <c r="AD12" s="37" t="s">
        <v>42</v>
      </c>
    </row>
    <row r="13" spans="1:30" ht="54.75" customHeight="1" x14ac:dyDescent="0.25">
      <c r="A13" s="25">
        <v>7</v>
      </c>
      <c r="B13" s="26" t="s">
        <v>81</v>
      </c>
      <c r="C13" s="26"/>
      <c r="D13" s="26"/>
      <c r="E13" s="27"/>
      <c r="F13" s="39" t="s">
        <v>82</v>
      </c>
      <c r="G13" s="29">
        <v>39</v>
      </c>
      <c r="H13" s="30" t="s">
        <v>83</v>
      </c>
      <c r="I13" s="29" t="s">
        <v>45</v>
      </c>
      <c r="J13" s="30" t="s">
        <v>84</v>
      </c>
      <c r="K13" s="29">
        <v>11</v>
      </c>
      <c r="L13" s="30" t="s">
        <v>85</v>
      </c>
      <c r="M13" s="31" t="s">
        <v>74</v>
      </c>
      <c r="N13" s="30" t="s">
        <v>49</v>
      </c>
      <c r="O13" s="32"/>
      <c r="P13" s="32"/>
      <c r="Q13" s="32" t="str">
        <f t="shared" si="0"/>
        <v>NO DATA</v>
      </c>
      <c r="R13" s="29" t="s">
        <v>37</v>
      </c>
      <c r="S13" s="29" t="s">
        <v>37</v>
      </c>
      <c r="T13" s="29" t="s">
        <v>37</v>
      </c>
      <c r="U13" s="29" t="s">
        <v>37</v>
      </c>
      <c r="V13" s="38" t="s">
        <v>50</v>
      </c>
      <c r="W13" s="25"/>
      <c r="X13" s="25"/>
      <c r="Y13" s="34" t="s">
        <v>38</v>
      </c>
      <c r="Z13" s="34" t="s">
        <v>39</v>
      </c>
      <c r="AA13" s="35" t="s">
        <v>52</v>
      </c>
      <c r="AB13" s="36">
        <v>9201366470</v>
      </c>
      <c r="AC13" s="36" t="s">
        <v>86</v>
      </c>
      <c r="AD13" s="37" t="s">
        <v>42</v>
      </c>
    </row>
    <row r="14" spans="1:30" ht="54.75" customHeight="1" x14ac:dyDescent="0.25">
      <c r="A14" s="25">
        <v>8</v>
      </c>
      <c r="B14" s="26" t="s">
        <v>81</v>
      </c>
      <c r="C14" s="27"/>
      <c r="D14" s="26"/>
      <c r="E14" s="27"/>
      <c r="F14" s="28" t="s">
        <v>87</v>
      </c>
      <c r="G14" s="29">
        <v>44</v>
      </c>
      <c r="H14" s="30" t="s">
        <v>83</v>
      </c>
      <c r="I14" s="29" t="s">
        <v>88</v>
      </c>
      <c r="J14" s="30" t="s">
        <v>89</v>
      </c>
      <c r="K14" s="29">
        <v>20</v>
      </c>
      <c r="L14" s="30" t="s">
        <v>35</v>
      </c>
      <c r="M14" s="31" t="s">
        <v>74</v>
      </c>
      <c r="N14" s="30" t="s">
        <v>49</v>
      </c>
      <c r="O14" s="32"/>
      <c r="P14" s="32"/>
      <c r="Q14" s="32" t="str">
        <f t="shared" si="0"/>
        <v>NO DATA</v>
      </c>
      <c r="R14" s="29" t="s">
        <v>37</v>
      </c>
      <c r="S14" s="29" t="s">
        <v>37</v>
      </c>
      <c r="T14" s="29" t="s">
        <v>37</v>
      </c>
      <c r="U14" s="29" t="s">
        <v>37</v>
      </c>
      <c r="V14" s="38" t="s">
        <v>50</v>
      </c>
      <c r="W14" s="25"/>
      <c r="X14" s="25"/>
      <c r="Y14" s="34" t="s">
        <v>58</v>
      </c>
      <c r="Z14" s="34" t="s">
        <v>51</v>
      </c>
      <c r="AA14" s="35" t="s">
        <v>52</v>
      </c>
      <c r="AB14" s="36" t="s">
        <v>90</v>
      </c>
      <c r="AC14" s="36" t="s">
        <v>91</v>
      </c>
      <c r="AD14" s="37" t="s">
        <v>42</v>
      </c>
    </row>
    <row r="15" spans="1:30" ht="54.75" customHeight="1" x14ac:dyDescent="0.25">
      <c r="A15" s="25">
        <v>9</v>
      </c>
      <c r="B15" s="26" t="s">
        <v>92</v>
      </c>
      <c r="C15" s="40"/>
      <c r="D15" s="26"/>
      <c r="E15" s="41"/>
      <c r="F15" s="42" t="s">
        <v>93</v>
      </c>
      <c r="G15" s="43">
        <v>61</v>
      </c>
      <c r="H15" s="30" t="s">
        <v>32</v>
      </c>
      <c r="I15" s="43" t="s">
        <v>33</v>
      </c>
      <c r="J15" s="44" t="s">
        <v>94</v>
      </c>
      <c r="K15" s="43">
        <v>31</v>
      </c>
      <c r="L15" s="44" t="s">
        <v>95</v>
      </c>
      <c r="M15" s="31" t="s">
        <v>74</v>
      </c>
      <c r="N15" s="30" t="s">
        <v>49</v>
      </c>
      <c r="O15" s="32"/>
      <c r="P15" s="32"/>
      <c r="Q15" s="32" t="str">
        <f t="shared" si="0"/>
        <v>NO DATA</v>
      </c>
      <c r="R15" s="29" t="s">
        <v>37</v>
      </c>
      <c r="S15" s="29" t="s">
        <v>37</v>
      </c>
      <c r="T15" s="29" t="s">
        <v>37</v>
      </c>
      <c r="U15" s="29" t="s">
        <v>37</v>
      </c>
      <c r="V15" s="38" t="s">
        <v>50</v>
      </c>
      <c r="W15" s="25"/>
      <c r="X15" s="25"/>
      <c r="Y15" s="34" t="s">
        <v>58</v>
      </c>
      <c r="Z15" s="34" t="s">
        <v>51</v>
      </c>
      <c r="AA15" s="35" t="s">
        <v>52</v>
      </c>
      <c r="AB15" s="45" t="s">
        <v>96</v>
      </c>
      <c r="AC15" s="45" t="s">
        <v>97</v>
      </c>
      <c r="AD15" s="37" t="s">
        <v>42</v>
      </c>
    </row>
    <row r="16" spans="1:30" ht="54.75" customHeight="1" x14ac:dyDescent="0.25">
      <c r="A16" s="25">
        <v>10</v>
      </c>
      <c r="B16" s="26" t="s">
        <v>92</v>
      </c>
      <c r="C16" s="26"/>
      <c r="D16" s="26"/>
      <c r="E16" s="27"/>
      <c r="F16" s="28" t="s">
        <v>98</v>
      </c>
      <c r="G16" s="29">
        <v>23</v>
      </c>
      <c r="H16" s="30" t="s">
        <v>99</v>
      </c>
      <c r="I16" s="29" t="s">
        <v>100</v>
      </c>
      <c r="J16" s="30"/>
      <c r="K16" s="29">
        <v>0</v>
      </c>
      <c r="L16" s="30" t="s">
        <v>85</v>
      </c>
      <c r="M16" s="31" t="s">
        <v>101</v>
      </c>
      <c r="N16" s="30" t="s">
        <v>49</v>
      </c>
      <c r="O16" s="32"/>
      <c r="P16" s="32"/>
      <c r="Q16" s="32" t="str">
        <f t="shared" si="0"/>
        <v>NO DATA</v>
      </c>
      <c r="R16" s="29" t="s">
        <v>37</v>
      </c>
      <c r="S16" s="29" t="s">
        <v>37</v>
      </c>
      <c r="T16" s="29" t="s">
        <v>37</v>
      </c>
      <c r="U16" s="29" t="s">
        <v>37</v>
      </c>
      <c r="V16" s="29" t="s">
        <v>102</v>
      </c>
      <c r="W16" s="25"/>
      <c r="X16" s="25"/>
      <c r="Y16" s="34"/>
      <c r="Z16" s="34"/>
      <c r="AA16" s="35" t="s">
        <v>103</v>
      </c>
      <c r="AB16" s="36">
        <v>9919184992</v>
      </c>
      <c r="AC16" s="36" t="s">
        <v>104</v>
      </c>
      <c r="AD16" s="37" t="s">
        <v>42</v>
      </c>
    </row>
    <row r="17" spans="1:30" ht="54.75" customHeight="1" x14ac:dyDescent="0.25">
      <c r="A17" s="25">
        <v>11</v>
      </c>
      <c r="B17" s="26" t="s">
        <v>92</v>
      </c>
      <c r="C17" s="26"/>
      <c r="D17" s="26"/>
      <c r="E17" s="27"/>
      <c r="F17" s="28" t="s">
        <v>105</v>
      </c>
      <c r="G17" s="29">
        <v>68</v>
      </c>
      <c r="H17" s="30" t="s">
        <v>32</v>
      </c>
      <c r="I17" s="29" t="s">
        <v>106</v>
      </c>
      <c r="J17" s="30" t="s">
        <v>107</v>
      </c>
      <c r="K17" s="29">
        <v>23</v>
      </c>
      <c r="L17" s="30" t="s">
        <v>108</v>
      </c>
      <c r="M17" s="31" t="s">
        <v>36</v>
      </c>
      <c r="N17" s="30" t="s">
        <v>49</v>
      </c>
      <c r="O17" s="32"/>
      <c r="P17" s="32"/>
      <c r="Q17" s="32" t="str">
        <f t="shared" si="0"/>
        <v>NO DATA</v>
      </c>
      <c r="R17" s="29" t="s">
        <v>37</v>
      </c>
      <c r="S17" s="29" t="s">
        <v>37</v>
      </c>
      <c r="T17" s="29" t="s">
        <v>37</v>
      </c>
      <c r="U17" s="29" t="s">
        <v>37</v>
      </c>
      <c r="V17" s="29" t="s">
        <v>36</v>
      </c>
      <c r="W17" s="25"/>
      <c r="X17" s="25"/>
      <c r="Y17" s="34" t="s">
        <v>58</v>
      </c>
      <c r="Z17" s="34" t="s">
        <v>51</v>
      </c>
      <c r="AA17" s="35" t="s">
        <v>40</v>
      </c>
      <c r="AB17" s="36" t="s">
        <v>109</v>
      </c>
      <c r="AC17" s="36" t="s">
        <v>110</v>
      </c>
      <c r="AD17" s="37" t="s">
        <v>42</v>
      </c>
    </row>
    <row r="18" spans="1:30" ht="54.75" customHeight="1" x14ac:dyDescent="0.25">
      <c r="A18" s="25">
        <v>12</v>
      </c>
      <c r="B18" s="26" t="s">
        <v>111</v>
      </c>
      <c r="C18" s="26"/>
      <c r="D18" s="26"/>
      <c r="E18" s="27"/>
      <c r="F18" s="28" t="s">
        <v>112</v>
      </c>
      <c r="G18" s="29">
        <v>58</v>
      </c>
      <c r="H18" s="30" t="s">
        <v>32</v>
      </c>
      <c r="I18" s="29" t="s">
        <v>71</v>
      </c>
      <c r="J18" s="30" t="s">
        <v>113</v>
      </c>
      <c r="K18" s="29">
        <v>16</v>
      </c>
      <c r="L18" s="30" t="s">
        <v>114</v>
      </c>
      <c r="M18" s="31" t="s">
        <v>115</v>
      </c>
      <c r="N18" s="30" t="s">
        <v>49</v>
      </c>
      <c r="O18" s="32"/>
      <c r="P18" s="32"/>
      <c r="Q18" s="32" t="str">
        <f t="shared" si="0"/>
        <v>NO DATA</v>
      </c>
      <c r="R18" s="29" t="s">
        <v>37</v>
      </c>
      <c r="S18" s="29" t="s">
        <v>37</v>
      </c>
      <c r="T18" s="29" t="s">
        <v>37</v>
      </c>
      <c r="U18" s="29" t="s">
        <v>37</v>
      </c>
      <c r="V18" s="29" t="s">
        <v>50</v>
      </c>
      <c r="W18" s="25"/>
      <c r="X18" s="25"/>
      <c r="Y18" s="34"/>
      <c r="Z18" s="34"/>
      <c r="AA18" s="35" t="s">
        <v>52</v>
      </c>
      <c r="AB18" s="36">
        <v>9164805581</v>
      </c>
      <c r="AC18" s="36" t="s">
        <v>116</v>
      </c>
      <c r="AD18" s="37" t="s">
        <v>42</v>
      </c>
    </row>
    <row r="19" spans="1:30" ht="54.75" customHeight="1" x14ac:dyDescent="0.25">
      <c r="A19" s="25">
        <v>13</v>
      </c>
      <c r="B19" s="26" t="s">
        <v>111</v>
      </c>
      <c r="C19" s="26"/>
      <c r="D19" s="26"/>
      <c r="E19" s="27"/>
      <c r="F19" s="28" t="s">
        <v>117</v>
      </c>
      <c r="G19" s="29">
        <v>33</v>
      </c>
      <c r="H19" s="30" t="s">
        <v>83</v>
      </c>
      <c r="I19" s="29" t="s">
        <v>118</v>
      </c>
      <c r="J19" s="30" t="s">
        <v>72</v>
      </c>
      <c r="K19" s="29">
        <v>6</v>
      </c>
      <c r="L19" s="30" t="s">
        <v>119</v>
      </c>
      <c r="M19" s="31" t="s">
        <v>74</v>
      </c>
      <c r="N19" s="30" t="s">
        <v>49</v>
      </c>
      <c r="O19" s="32"/>
      <c r="P19" s="32"/>
      <c r="Q19" s="32" t="str">
        <f t="shared" si="0"/>
        <v>NO DATA</v>
      </c>
      <c r="R19" s="29" t="s">
        <v>37</v>
      </c>
      <c r="S19" s="29" t="s">
        <v>37</v>
      </c>
      <c r="T19" s="29" t="s">
        <v>37</v>
      </c>
      <c r="U19" s="29" t="s">
        <v>37</v>
      </c>
      <c r="V19" s="29" t="s">
        <v>50</v>
      </c>
      <c r="W19" s="25"/>
      <c r="X19" s="25"/>
      <c r="Y19" s="34" t="s">
        <v>58</v>
      </c>
      <c r="Z19" s="34" t="s">
        <v>51</v>
      </c>
      <c r="AA19" s="35" t="s">
        <v>52</v>
      </c>
      <c r="AB19" s="36">
        <v>9364104647</v>
      </c>
      <c r="AC19" s="36" t="s">
        <v>120</v>
      </c>
      <c r="AD19" s="37" t="s">
        <v>42</v>
      </c>
    </row>
    <row r="20" spans="1:30" ht="54.75" customHeight="1" x14ac:dyDescent="0.25">
      <c r="A20" s="25">
        <v>14</v>
      </c>
      <c r="B20" s="26" t="s">
        <v>111</v>
      </c>
      <c r="C20" s="26"/>
      <c r="D20" s="26"/>
      <c r="E20" s="27"/>
      <c r="F20" s="46" t="s">
        <v>121</v>
      </c>
      <c r="G20" s="29">
        <v>61</v>
      </c>
      <c r="H20" s="30" t="s">
        <v>32</v>
      </c>
      <c r="I20" s="29" t="s">
        <v>33</v>
      </c>
      <c r="J20" s="30" t="s">
        <v>122</v>
      </c>
      <c r="K20" s="29">
        <v>18</v>
      </c>
      <c r="L20" s="30" t="s">
        <v>123</v>
      </c>
      <c r="M20" s="31" t="s">
        <v>36</v>
      </c>
      <c r="N20" s="30" t="s">
        <v>49</v>
      </c>
      <c r="O20" s="32"/>
      <c r="P20" s="32"/>
      <c r="Q20" s="32" t="str">
        <f t="shared" si="0"/>
        <v>NO DATA</v>
      </c>
      <c r="R20" s="29" t="s">
        <v>37</v>
      </c>
      <c r="S20" s="29" t="s">
        <v>37</v>
      </c>
      <c r="T20" s="29" t="s">
        <v>37</v>
      </c>
      <c r="U20" s="29" t="s">
        <v>37</v>
      </c>
      <c r="V20" s="29" t="s">
        <v>36</v>
      </c>
      <c r="W20" s="25"/>
      <c r="X20" s="25"/>
      <c r="Y20" s="34" t="s">
        <v>58</v>
      </c>
      <c r="Z20" s="34" t="s">
        <v>51</v>
      </c>
      <c r="AA20" s="35" t="s">
        <v>40</v>
      </c>
      <c r="AB20" s="36" t="s">
        <v>124</v>
      </c>
      <c r="AC20" s="36" t="s">
        <v>125</v>
      </c>
      <c r="AD20" s="37" t="s">
        <v>42</v>
      </c>
    </row>
    <row r="21" spans="1:30" ht="54.75" customHeight="1" x14ac:dyDescent="0.25">
      <c r="A21" s="25">
        <v>15</v>
      </c>
      <c r="B21" s="26" t="s">
        <v>111</v>
      </c>
      <c r="C21" s="26"/>
      <c r="D21" s="26"/>
      <c r="E21" s="27"/>
      <c r="F21" s="28" t="s">
        <v>126</v>
      </c>
      <c r="G21" s="29">
        <v>62</v>
      </c>
      <c r="H21" s="30" t="s">
        <v>32</v>
      </c>
      <c r="I21" s="29" t="s">
        <v>127</v>
      </c>
      <c r="J21" s="30" t="s">
        <v>128</v>
      </c>
      <c r="K21" s="29">
        <v>6</v>
      </c>
      <c r="L21" s="30" t="s">
        <v>129</v>
      </c>
      <c r="M21" s="31" t="s">
        <v>36</v>
      </c>
      <c r="N21" s="30" t="s">
        <v>49</v>
      </c>
      <c r="O21" s="32"/>
      <c r="P21" s="32"/>
      <c r="Q21" s="32" t="str">
        <f t="shared" si="0"/>
        <v>NO DATA</v>
      </c>
      <c r="R21" s="29" t="s">
        <v>37</v>
      </c>
      <c r="S21" s="29" t="s">
        <v>37</v>
      </c>
      <c r="T21" s="29" t="s">
        <v>37</v>
      </c>
      <c r="U21" s="29" t="s">
        <v>37</v>
      </c>
      <c r="V21" s="29" t="s">
        <v>36</v>
      </c>
      <c r="W21" s="25"/>
      <c r="X21" s="25"/>
      <c r="Y21" s="34" t="s">
        <v>58</v>
      </c>
      <c r="Z21" s="34" t="s">
        <v>51</v>
      </c>
      <c r="AA21" s="35" t="s">
        <v>40</v>
      </c>
      <c r="AB21" s="36" t="s">
        <v>130</v>
      </c>
      <c r="AC21" s="36" t="s">
        <v>131</v>
      </c>
      <c r="AD21" s="37" t="s">
        <v>42</v>
      </c>
    </row>
    <row r="22" spans="1:30" ht="54.75" customHeight="1" x14ac:dyDescent="0.25">
      <c r="A22" s="25">
        <v>16</v>
      </c>
      <c r="B22" s="26" t="s">
        <v>111</v>
      </c>
      <c r="C22" s="27"/>
      <c r="D22" s="26"/>
      <c r="E22" s="30"/>
      <c r="F22" s="28" t="s">
        <v>132</v>
      </c>
      <c r="G22" s="29">
        <v>41</v>
      </c>
      <c r="H22" s="30" t="s">
        <v>83</v>
      </c>
      <c r="I22" s="29" t="s">
        <v>133</v>
      </c>
      <c r="J22" s="30" t="s">
        <v>34</v>
      </c>
      <c r="K22" s="29">
        <v>19</v>
      </c>
      <c r="L22" s="30" t="s">
        <v>134</v>
      </c>
      <c r="M22" s="31" t="s">
        <v>74</v>
      </c>
      <c r="N22" s="30" t="s">
        <v>49</v>
      </c>
      <c r="O22" s="32"/>
      <c r="P22" s="32"/>
      <c r="Q22" s="32" t="str">
        <f t="shared" si="0"/>
        <v>NO DATA</v>
      </c>
      <c r="R22" s="29" t="s">
        <v>37</v>
      </c>
      <c r="S22" s="29" t="s">
        <v>37</v>
      </c>
      <c r="T22" s="29" t="s">
        <v>37</v>
      </c>
      <c r="U22" s="29" t="s">
        <v>37</v>
      </c>
      <c r="V22" s="29" t="s">
        <v>50</v>
      </c>
      <c r="W22" s="25"/>
      <c r="X22" s="25"/>
      <c r="Y22" s="34" t="s">
        <v>38</v>
      </c>
      <c r="Z22" s="34" t="s">
        <v>39</v>
      </c>
      <c r="AA22" s="35" t="s">
        <v>52</v>
      </c>
      <c r="AB22" s="36" t="s">
        <v>130</v>
      </c>
      <c r="AC22" s="36" t="s">
        <v>135</v>
      </c>
      <c r="AD22" s="37" t="s">
        <v>42</v>
      </c>
    </row>
    <row r="23" spans="1:30" ht="54.75" customHeight="1" x14ac:dyDescent="0.25">
      <c r="A23" s="25">
        <v>17</v>
      </c>
      <c r="B23" s="26" t="s">
        <v>136</v>
      </c>
      <c r="C23" s="27"/>
      <c r="D23" s="26"/>
      <c r="E23" s="30"/>
      <c r="F23" s="28" t="s">
        <v>137</v>
      </c>
      <c r="G23" s="29">
        <v>29</v>
      </c>
      <c r="H23" s="30" t="s">
        <v>138</v>
      </c>
      <c r="I23" s="29" t="s">
        <v>139</v>
      </c>
      <c r="J23" s="30" t="s">
        <v>140</v>
      </c>
      <c r="K23" s="29">
        <v>0</v>
      </c>
      <c r="L23" s="30" t="s">
        <v>141</v>
      </c>
      <c r="M23" s="29" t="s">
        <v>102</v>
      </c>
      <c r="N23" s="30" t="s">
        <v>49</v>
      </c>
      <c r="O23" s="32"/>
      <c r="P23" s="32"/>
      <c r="Q23" s="32" t="str">
        <f t="shared" si="0"/>
        <v>NO DATA</v>
      </c>
      <c r="R23" s="29" t="s">
        <v>37</v>
      </c>
      <c r="S23" s="29" t="s">
        <v>37</v>
      </c>
      <c r="T23" s="29" t="s">
        <v>37</v>
      </c>
      <c r="U23" s="29" t="s">
        <v>37</v>
      </c>
      <c r="V23" s="29" t="s">
        <v>102</v>
      </c>
      <c r="W23" s="25"/>
      <c r="X23" s="25"/>
      <c r="Y23" s="34"/>
      <c r="Z23" s="34"/>
      <c r="AA23" s="35" t="s">
        <v>103</v>
      </c>
      <c r="AB23" s="36" t="s">
        <v>142</v>
      </c>
      <c r="AC23" s="36" t="s">
        <v>143</v>
      </c>
      <c r="AD23" s="37" t="s">
        <v>42</v>
      </c>
    </row>
    <row r="24" spans="1:30" ht="54.75" customHeight="1" x14ac:dyDescent="0.25">
      <c r="A24" s="25">
        <v>18</v>
      </c>
      <c r="B24" s="26" t="s">
        <v>136</v>
      </c>
      <c r="C24" s="26"/>
      <c r="D24" s="26"/>
      <c r="E24" s="27"/>
      <c r="F24" s="28" t="s">
        <v>144</v>
      </c>
      <c r="G24" s="29">
        <v>49</v>
      </c>
      <c r="H24" s="30" t="s">
        <v>83</v>
      </c>
      <c r="I24" s="29" t="s">
        <v>133</v>
      </c>
      <c r="J24" s="30" t="s">
        <v>145</v>
      </c>
      <c r="K24" s="29">
        <v>18</v>
      </c>
      <c r="L24" s="30" t="s">
        <v>146</v>
      </c>
      <c r="M24" s="31" t="s">
        <v>57</v>
      </c>
      <c r="N24" s="30" t="s">
        <v>49</v>
      </c>
      <c r="O24" s="32"/>
      <c r="P24" s="32"/>
      <c r="Q24" s="32" t="str">
        <f t="shared" si="0"/>
        <v>NO DATA</v>
      </c>
      <c r="R24" s="29" t="s">
        <v>37</v>
      </c>
      <c r="S24" s="29" t="s">
        <v>37</v>
      </c>
      <c r="T24" s="29" t="s">
        <v>37</v>
      </c>
      <c r="U24" s="29" t="s">
        <v>37</v>
      </c>
      <c r="V24" s="29" t="s">
        <v>50</v>
      </c>
      <c r="W24" s="25"/>
      <c r="X24" s="25"/>
      <c r="Y24" s="34" t="s">
        <v>58</v>
      </c>
      <c r="Z24" s="34" t="s">
        <v>51</v>
      </c>
      <c r="AA24" s="35" t="s">
        <v>52</v>
      </c>
      <c r="AB24" s="36" t="s">
        <v>147</v>
      </c>
      <c r="AC24" s="36" t="s">
        <v>148</v>
      </c>
      <c r="AD24" s="37" t="s">
        <v>42</v>
      </c>
    </row>
    <row r="25" spans="1:30" ht="54.75" customHeight="1" x14ac:dyDescent="0.25">
      <c r="A25" s="25">
        <v>19</v>
      </c>
      <c r="B25" s="26" t="s">
        <v>136</v>
      </c>
      <c r="C25" s="26"/>
      <c r="D25" s="26"/>
      <c r="E25" s="27"/>
      <c r="F25" s="28" t="s">
        <v>149</v>
      </c>
      <c r="G25" s="29">
        <v>26</v>
      </c>
      <c r="H25" s="30" t="s">
        <v>150</v>
      </c>
      <c r="I25" s="29" t="s">
        <v>151</v>
      </c>
      <c r="J25" s="30" t="s">
        <v>72</v>
      </c>
      <c r="K25" s="29">
        <v>1</v>
      </c>
      <c r="L25" s="30" t="s">
        <v>152</v>
      </c>
      <c r="M25" s="29" t="s">
        <v>102</v>
      </c>
      <c r="N25" s="30" t="s">
        <v>49</v>
      </c>
      <c r="O25" s="32"/>
      <c r="P25" s="32"/>
      <c r="Q25" s="32" t="str">
        <f t="shared" si="0"/>
        <v>NO DATA</v>
      </c>
      <c r="R25" s="29" t="s">
        <v>37</v>
      </c>
      <c r="S25" s="29" t="s">
        <v>37</v>
      </c>
      <c r="T25" s="29" t="s">
        <v>37</v>
      </c>
      <c r="U25" s="29" t="s">
        <v>37</v>
      </c>
      <c r="V25" s="29" t="s">
        <v>102</v>
      </c>
      <c r="W25" s="25"/>
      <c r="X25" s="25"/>
      <c r="Y25" s="34" t="s">
        <v>58</v>
      </c>
      <c r="Z25" s="34" t="s">
        <v>51</v>
      </c>
      <c r="AA25" s="35" t="s">
        <v>103</v>
      </c>
      <c r="AB25" s="36" t="s">
        <v>153</v>
      </c>
      <c r="AC25" s="47" t="s">
        <v>154</v>
      </c>
      <c r="AD25" s="37" t="s">
        <v>42</v>
      </c>
    </row>
    <row r="26" spans="1:30" ht="54.75" customHeight="1" x14ac:dyDescent="0.25">
      <c r="A26" s="25">
        <v>20</v>
      </c>
      <c r="B26" s="26" t="s">
        <v>136</v>
      </c>
      <c r="C26" s="26"/>
      <c r="D26" s="26"/>
      <c r="E26" s="27"/>
      <c r="F26" s="28" t="s">
        <v>155</v>
      </c>
      <c r="G26" s="29">
        <v>53</v>
      </c>
      <c r="H26" s="30" t="s">
        <v>32</v>
      </c>
      <c r="I26" s="29" t="s">
        <v>33</v>
      </c>
      <c r="J26" s="30" t="s">
        <v>145</v>
      </c>
      <c r="K26" s="29">
        <v>17</v>
      </c>
      <c r="L26" s="30" t="s">
        <v>156</v>
      </c>
      <c r="M26" s="31" t="s">
        <v>74</v>
      </c>
      <c r="N26" s="30" t="s">
        <v>49</v>
      </c>
      <c r="O26" s="32"/>
      <c r="P26" s="32"/>
      <c r="Q26" s="32" t="str">
        <f t="shared" si="0"/>
        <v>NO DATA</v>
      </c>
      <c r="R26" s="29" t="s">
        <v>37</v>
      </c>
      <c r="S26" s="29" t="s">
        <v>37</v>
      </c>
      <c r="T26" s="29" t="s">
        <v>37</v>
      </c>
      <c r="U26" s="29" t="s">
        <v>37</v>
      </c>
      <c r="V26" s="29" t="s">
        <v>50</v>
      </c>
      <c r="W26" s="25"/>
      <c r="X26" s="25"/>
      <c r="Y26" s="34" t="s">
        <v>58</v>
      </c>
      <c r="Z26" s="34" t="s">
        <v>51</v>
      </c>
      <c r="AA26" s="35" t="s">
        <v>52</v>
      </c>
      <c r="AB26" s="36">
        <v>9983180105</v>
      </c>
      <c r="AC26" s="47" t="s">
        <v>157</v>
      </c>
      <c r="AD26" s="37" t="s">
        <v>42</v>
      </c>
    </row>
    <row r="27" spans="1:30" ht="54.75" customHeight="1" x14ac:dyDescent="0.25">
      <c r="A27" s="25">
        <v>21</v>
      </c>
      <c r="B27" s="26" t="s">
        <v>136</v>
      </c>
      <c r="C27" s="27"/>
      <c r="D27" s="26"/>
      <c r="E27" s="30"/>
      <c r="F27" s="28" t="s">
        <v>158</v>
      </c>
      <c r="G27" s="29">
        <v>27</v>
      </c>
      <c r="H27" s="30" t="s">
        <v>32</v>
      </c>
      <c r="I27" s="29" t="s">
        <v>55</v>
      </c>
      <c r="J27" s="30" t="s">
        <v>159</v>
      </c>
      <c r="K27" s="29">
        <v>3</v>
      </c>
      <c r="L27" s="30" t="s">
        <v>160</v>
      </c>
      <c r="M27" s="31" t="s">
        <v>102</v>
      </c>
      <c r="N27" s="30" t="s">
        <v>49</v>
      </c>
      <c r="O27" s="32"/>
      <c r="P27" s="32"/>
      <c r="Q27" s="32" t="str">
        <f t="shared" si="0"/>
        <v>NO DATA</v>
      </c>
      <c r="R27" s="29" t="s">
        <v>37</v>
      </c>
      <c r="S27" s="29" t="s">
        <v>37</v>
      </c>
      <c r="T27" s="29" t="s">
        <v>37</v>
      </c>
      <c r="U27" s="29" t="s">
        <v>37</v>
      </c>
      <c r="V27" s="29" t="s">
        <v>102</v>
      </c>
      <c r="W27" s="25"/>
      <c r="X27" s="25"/>
      <c r="Y27" s="34" t="s">
        <v>58</v>
      </c>
      <c r="Z27" s="34" t="s">
        <v>51</v>
      </c>
      <c r="AA27" s="35" t="s">
        <v>103</v>
      </c>
      <c r="AB27" s="48">
        <v>9610345418</v>
      </c>
      <c r="AC27" s="47" t="s">
        <v>161</v>
      </c>
      <c r="AD27" s="37" t="s">
        <v>42</v>
      </c>
    </row>
    <row r="28" spans="1:30" ht="54.75" customHeight="1" x14ac:dyDescent="0.25">
      <c r="A28" s="25">
        <v>22</v>
      </c>
      <c r="B28" s="26" t="s">
        <v>136</v>
      </c>
      <c r="C28" s="26"/>
      <c r="D28" s="26"/>
      <c r="E28" s="27"/>
      <c r="F28" s="28" t="s">
        <v>162</v>
      </c>
      <c r="G28" s="29">
        <v>25</v>
      </c>
      <c r="H28" s="30" t="s">
        <v>44</v>
      </c>
      <c r="I28" s="29" t="s">
        <v>151</v>
      </c>
      <c r="J28" s="30" t="s">
        <v>163</v>
      </c>
      <c r="K28" s="29">
        <v>1</v>
      </c>
      <c r="L28" s="30" t="s">
        <v>47</v>
      </c>
      <c r="M28" s="31" t="s">
        <v>102</v>
      </c>
      <c r="N28" s="30" t="s">
        <v>49</v>
      </c>
      <c r="O28" s="32"/>
      <c r="P28" s="32"/>
      <c r="Q28" s="32" t="str">
        <f t="shared" si="0"/>
        <v>NO DATA</v>
      </c>
      <c r="R28" s="29" t="s">
        <v>37</v>
      </c>
      <c r="S28" s="29" t="s">
        <v>37</v>
      </c>
      <c r="T28" s="29" t="s">
        <v>37</v>
      </c>
      <c r="U28" s="29" t="s">
        <v>37</v>
      </c>
      <c r="V28" s="29" t="s">
        <v>102</v>
      </c>
      <c r="W28" s="25"/>
      <c r="X28" s="25"/>
      <c r="Y28" s="34" t="s">
        <v>38</v>
      </c>
      <c r="Z28" s="34" t="s">
        <v>39</v>
      </c>
      <c r="AA28" s="35" t="s">
        <v>103</v>
      </c>
      <c r="AB28" s="48">
        <v>9602652677</v>
      </c>
      <c r="AC28" s="47" t="s">
        <v>164</v>
      </c>
      <c r="AD28" s="37" t="s">
        <v>42</v>
      </c>
    </row>
    <row r="29" spans="1:30" ht="54.75" customHeight="1" x14ac:dyDescent="0.25">
      <c r="A29" s="25">
        <v>23</v>
      </c>
      <c r="B29" s="26" t="s">
        <v>165</v>
      </c>
      <c r="C29" s="26"/>
      <c r="D29" s="26"/>
      <c r="E29" s="27"/>
      <c r="F29" s="28" t="s">
        <v>166</v>
      </c>
      <c r="G29" s="29">
        <v>37</v>
      </c>
      <c r="H29" s="30" t="s">
        <v>44</v>
      </c>
      <c r="I29" s="29" t="s">
        <v>45</v>
      </c>
      <c r="J29" s="30" t="s">
        <v>167</v>
      </c>
      <c r="K29" s="29">
        <v>12</v>
      </c>
      <c r="L29" s="30" t="s">
        <v>47</v>
      </c>
      <c r="M29" s="31" t="s">
        <v>102</v>
      </c>
      <c r="N29" s="30" t="s">
        <v>49</v>
      </c>
      <c r="O29" s="32"/>
      <c r="P29" s="32"/>
      <c r="Q29" s="32" t="str">
        <f t="shared" si="0"/>
        <v>NO DATA</v>
      </c>
      <c r="R29" s="29" t="s">
        <v>37</v>
      </c>
      <c r="S29" s="29" t="s">
        <v>37</v>
      </c>
      <c r="T29" s="29" t="s">
        <v>37</v>
      </c>
      <c r="U29" s="29" t="s">
        <v>37</v>
      </c>
      <c r="V29" s="29" t="s">
        <v>102</v>
      </c>
      <c r="W29" s="25"/>
      <c r="X29" s="25"/>
      <c r="Y29" s="34" t="s">
        <v>58</v>
      </c>
      <c r="Z29" s="34" t="s">
        <v>51</v>
      </c>
      <c r="AA29" s="35" t="s">
        <v>103</v>
      </c>
      <c r="AB29" s="47" t="s">
        <v>168</v>
      </c>
      <c r="AC29" s="47" t="s">
        <v>169</v>
      </c>
      <c r="AD29" s="37" t="s">
        <v>42</v>
      </c>
    </row>
    <row r="30" spans="1:30" ht="54.75" customHeight="1" x14ac:dyDescent="0.25">
      <c r="A30" s="25">
        <v>24</v>
      </c>
      <c r="B30" s="49" t="s">
        <v>170</v>
      </c>
      <c r="C30" s="49"/>
      <c r="D30" s="49"/>
      <c r="E30" s="50"/>
      <c r="F30" s="51" t="s">
        <v>171</v>
      </c>
      <c r="G30" s="52">
        <v>56</v>
      </c>
      <c r="H30" s="53" t="s">
        <v>32</v>
      </c>
      <c r="I30" s="52" t="s">
        <v>127</v>
      </c>
      <c r="J30" s="53" t="s">
        <v>78</v>
      </c>
      <c r="K30" s="52">
        <v>12</v>
      </c>
      <c r="L30" s="53" t="s">
        <v>172</v>
      </c>
      <c r="M30" s="54" t="s">
        <v>173</v>
      </c>
      <c r="N30" s="53" t="s">
        <v>49</v>
      </c>
      <c r="O30" s="55"/>
      <c r="P30" s="55"/>
      <c r="Q30" s="55" t="str">
        <f t="shared" si="0"/>
        <v>NO DATA</v>
      </c>
      <c r="R30" s="52" t="s">
        <v>37</v>
      </c>
      <c r="S30" s="52" t="s">
        <v>37</v>
      </c>
      <c r="T30" s="52" t="s">
        <v>37</v>
      </c>
      <c r="U30" s="52" t="s">
        <v>37</v>
      </c>
      <c r="V30" s="54" t="s">
        <v>173</v>
      </c>
      <c r="W30" s="25"/>
      <c r="X30" s="25"/>
      <c r="Y30" s="34" t="s">
        <v>38</v>
      </c>
      <c r="Z30" s="34" t="s">
        <v>39</v>
      </c>
      <c r="AA30" s="35" t="s">
        <v>52</v>
      </c>
      <c r="AB30" s="47">
        <v>9666125014</v>
      </c>
      <c r="AC30" s="47" t="s">
        <v>174</v>
      </c>
      <c r="AD30" s="37" t="s">
        <v>42</v>
      </c>
    </row>
    <row r="31" spans="1:30" ht="54.75" customHeight="1" x14ac:dyDescent="0.25">
      <c r="A31" s="25">
        <v>25</v>
      </c>
      <c r="B31" s="26" t="s">
        <v>175</v>
      </c>
      <c r="C31" s="26"/>
      <c r="D31" s="26"/>
      <c r="E31" s="27"/>
      <c r="F31" s="28" t="s">
        <v>176</v>
      </c>
      <c r="G31" s="29">
        <v>33</v>
      </c>
      <c r="H31" s="30" t="s">
        <v>177</v>
      </c>
      <c r="I31" s="29" t="s">
        <v>178</v>
      </c>
      <c r="J31" s="30" t="s">
        <v>179</v>
      </c>
      <c r="K31" s="29">
        <v>8</v>
      </c>
      <c r="L31" s="30" t="s">
        <v>180</v>
      </c>
      <c r="M31" s="31" t="s">
        <v>181</v>
      </c>
      <c r="N31" s="30" t="s">
        <v>49</v>
      </c>
      <c r="O31" s="32"/>
      <c r="P31" s="32"/>
      <c r="Q31" s="32" t="str">
        <f t="shared" si="0"/>
        <v>NO DATA</v>
      </c>
      <c r="R31" s="29" t="s">
        <v>37</v>
      </c>
      <c r="S31" s="29" t="s">
        <v>37</v>
      </c>
      <c r="T31" s="29" t="s">
        <v>37</v>
      </c>
      <c r="U31" s="29" t="s">
        <v>37</v>
      </c>
      <c r="V31" s="29" t="s">
        <v>102</v>
      </c>
      <c r="W31" s="25"/>
      <c r="X31" s="25"/>
      <c r="Y31" s="34" t="s">
        <v>38</v>
      </c>
      <c r="Z31" s="34" t="s">
        <v>51</v>
      </c>
      <c r="AA31" s="35" t="s">
        <v>103</v>
      </c>
      <c r="AB31" s="47" t="s">
        <v>182</v>
      </c>
      <c r="AC31" s="47" t="s">
        <v>183</v>
      </c>
      <c r="AD31" s="37" t="s">
        <v>42</v>
      </c>
    </row>
    <row r="32" spans="1:30" ht="54.75" customHeight="1" x14ac:dyDescent="0.25">
      <c r="A32" s="25">
        <v>26</v>
      </c>
      <c r="B32" s="26" t="s">
        <v>175</v>
      </c>
      <c r="C32" s="26"/>
      <c r="D32" s="26"/>
      <c r="E32" s="27"/>
      <c r="F32" s="28" t="s">
        <v>184</v>
      </c>
      <c r="G32" s="29">
        <v>56</v>
      </c>
      <c r="H32" s="30" t="s">
        <v>32</v>
      </c>
      <c r="I32" s="29" t="s">
        <v>127</v>
      </c>
      <c r="J32" s="30" t="s">
        <v>159</v>
      </c>
      <c r="K32" s="29">
        <v>29</v>
      </c>
      <c r="L32" s="30" t="s">
        <v>185</v>
      </c>
      <c r="M32" s="31" t="s">
        <v>186</v>
      </c>
      <c r="N32" s="30" t="s">
        <v>49</v>
      </c>
      <c r="O32" s="32"/>
      <c r="P32" s="32"/>
      <c r="Q32" s="32" t="str">
        <f t="shared" si="0"/>
        <v>NO DATA</v>
      </c>
      <c r="R32" s="29" t="s">
        <v>37</v>
      </c>
      <c r="S32" s="29" t="s">
        <v>37</v>
      </c>
      <c r="T32" s="29" t="s">
        <v>37</v>
      </c>
      <c r="U32" s="29" t="s">
        <v>37</v>
      </c>
      <c r="V32" s="29" t="s">
        <v>36</v>
      </c>
      <c r="W32" s="25"/>
      <c r="X32" s="25"/>
      <c r="Y32" s="34" t="s">
        <v>58</v>
      </c>
      <c r="Z32" s="34" t="s">
        <v>51</v>
      </c>
      <c r="AA32" s="35" t="s">
        <v>40</v>
      </c>
      <c r="AB32" s="47" t="s">
        <v>187</v>
      </c>
      <c r="AC32" s="47" t="s">
        <v>188</v>
      </c>
      <c r="AD32" s="37" t="s">
        <v>42</v>
      </c>
    </row>
    <row r="33" spans="1:30" ht="54.75" customHeight="1" x14ac:dyDescent="0.25">
      <c r="A33" s="25">
        <v>27</v>
      </c>
      <c r="B33" s="26" t="s">
        <v>189</v>
      </c>
      <c r="C33" s="26"/>
      <c r="D33" s="26"/>
      <c r="E33" s="27"/>
      <c r="F33" s="28" t="s">
        <v>190</v>
      </c>
      <c r="G33" s="29">
        <v>69</v>
      </c>
      <c r="H33" s="30" t="s">
        <v>32</v>
      </c>
      <c r="I33" s="29" t="s">
        <v>106</v>
      </c>
      <c r="J33" s="30" t="s">
        <v>191</v>
      </c>
      <c r="K33" s="29">
        <v>25</v>
      </c>
      <c r="L33" s="30" t="s">
        <v>108</v>
      </c>
      <c r="M33" s="31" t="s">
        <v>186</v>
      </c>
      <c r="N33" s="30" t="s">
        <v>49</v>
      </c>
      <c r="O33" s="32"/>
      <c r="P33" s="32"/>
      <c r="Q33" s="32" t="str">
        <f t="shared" si="0"/>
        <v>NO DATA</v>
      </c>
      <c r="R33" s="29" t="s">
        <v>37</v>
      </c>
      <c r="S33" s="29" t="s">
        <v>37</v>
      </c>
      <c r="T33" s="29" t="s">
        <v>37</v>
      </c>
      <c r="U33" s="29" t="s">
        <v>37</v>
      </c>
      <c r="V33" s="29" t="s">
        <v>36</v>
      </c>
      <c r="W33" s="25"/>
      <c r="X33" s="25"/>
      <c r="Y33" s="34" t="s">
        <v>58</v>
      </c>
      <c r="Z33" s="34" t="s">
        <v>51</v>
      </c>
      <c r="AA33" s="35" t="s">
        <v>40</v>
      </c>
      <c r="AB33" s="47" t="s">
        <v>192</v>
      </c>
      <c r="AC33" s="47" t="s">
        <v>193</v>
      </c>
      <c r="AD33" s="37" t="s">
        <v>42</v>
      </c>
    </row>
    <row r="34" spans="1:30" ht="54.75" customHeight="1" x14ac:dyDescent="0.25">
      <c r="A34" s="25">
        <v>28</v>
      </c>
      <c r="B34" s="26" t="s">
        <v>189</v>
      </c>
      <c r="C34" s="26"/>
      <c r="D34" s="26"/>
      <c r="E34" s="27"/>
      <c r="F34" s="28" t="s">
        <v>194</v>
      </c>
      <c r="G34" s="29">
        <v>32</v>
      </c>
      <c r="H34" s="30" t="s">
        <v>99</v>
      </c>
      <c r="I34" s="29" t="s">
        <v>71</v>
      </c>
      <c r="J34" s="30" t="s">
        <v>195</v>
      </c>
      <c r="K34" s="29">
        <v>7</v>
      </c>
      <c r="L34" s="30" t="s">
        <v>196</v>
      </c>
      <c r="M34" s="31" t="s">
        <v>197</v>
      </c>
      <c r="N34" s="30" t="s">
        <v>49</v>
      </c>
      <c r="O34" s="32"/>
      <c r="P34" s="32"/>
      <c r="Q34" s="32" t="str">
        <f t="shared" si="0"/>
        <v>NO DATA</v>
      </c>
      <c r="R34" s="29" t="s">
        <v>37</v>
      </c>
      <c r="S34" s="29" t="s">
        <v>37</v>
      </c>
      <c r="T34" s="29" t="s">
        <v>37</v>
      </c>
      <c r="U34" s="29" t="s">
        <v>37</v>
      </c>
      <c r="V34" s="29" t="s">
        <v>102</v>
      </c>
      <c r="W34" s="25"/>
      <c r="X34" s="25"/>
      <c r="Y34" s="34" t="s">
        <v>58</v>
      </c>
      <c r="Z34" s="34" t="s">
        <v>51</v>
      </c>
      <c r="AA34" s="35" t="s">
        <v>103</v>
      </c>
      <c r="AB34" s="47">
        <v>9555618565</v>
      </c>
      <c r="AC34" s="47" t="s">
        <v>198</v>
      </c>
      <c r="AD34" s="37" t="s">
        <v>42</v>
      </c>
    </row>
    <row r="35" spans="1:30" ht="54.75" customHeight="1" x14ac:dyDescent="0.25">
      <c r="A35" s="25">
        <v>29</v>
      </c>
      <c r="B35" s="26" t="s">
        <v>189</v>
      </c>
      <c r="C35" s="26"/>
      <c r="D35" s="26"/>
      <c r="E35" s="27"/>
      <c r="F35" s="28" t="s">
        <v>199</v>
      </c>
      <c r="G35" s="29">
        <v>22</v>
      </c>
      <c r="H35" s="30" t="s">
        <v>200</v>
      </c>
      <c r="I35" s="29" t="s">
        <v>151</v>
      </c>
      <c r="J35" s="30" t="s">
        <v>140</v>
      </c>
      <c r="K35" s="29">
        <v>0</v>
      </c>
      <c r="L35" s="30"/>
      <c r="M35" s="31" t="s">
        <v>197</v>
      </c>
      <c r="N35" s="30" t="s">
        <v>49</v>
      </c>
      <c r="O35" s="32"/>
      <c r="P35" s="32"/>
      <c r="Q35" s="32" t="str">
        <f t="shared" si="0"/>
        <v>NO DATA</v>
      </c>
      <c r="R35" s="29" t="s">
        <v>37</v>
      </c>
      <c r="S35" s="29" t="s">
        <v>37</v>
      </c>
      <c r="T35" s="29" t="s">
        <v>37</v>
      </c>
      <c r="U35" s="29" t="s">
        <v>37</v>
      </c>
      <c r="V35" s="29" t="s">
        <v>102</v>
      </c>
      <c r="W35" s="25"/>
      <c r="X35" s="25"/>
      <c r="Y35" s="34"/>
      <c r="Z35" s="34"/>
      <c r="AA35" s="35" t="s">
        <v>103</v>
      </c>
      <c r="AB35" s="47">
        <v>9634484282</v>
      </c>
      <c r="AC35" s="47" t="s">
        <v>201</v>
      </c>
      <c r="AD35" s="37" t="s">
        <v>42</v>
      </c>
    </row>
    <row r="36" spans="1:30" ht="54.75" customHeight="1" x14ac:dyDescent="0.25">
      <c r="A36" s="25">
        <v>30</v>
      </c>
      <c r="B36" s="26" t="s">
        <v>202</v>
      </c>
      <c r="C36" s="26"/>
      <c r="D36" s="26"/>
      <c r="E36" s="27"/>
      <c r="F36" s="28" t="s">
        <v>203</v>
      </c>
      <c r="G36" s="29">
        <v>68</v>
      </c>
      <c r="H36" s="30" t="s">
        <v>32</v>
      </c>
      <c r="I36" s="29" t="s">
        <v>33</v>
      </c>
      <c r="J36" s="30" t="s">
        <v>94</v>
      </c>
      <c r="K36" s="29">
        <v>30</v>
      </c>
      <c r="L36" s="30" t="s">
        <v>204</v>
      </c>
      <c r="M36" s="31" t="s">
        <v>186</v>
      </c>
      <c r="N36" s="56">
        <v>45383</v>
      </c>
      <c r="O36" s="32"/>
      <c r="P36" s="32"/>
      <c r="Q36" s="32" t="str">
        <f t="shared" si="0"/>
        <v>NO DATA</v>
      </c>
      <c r="R36" s="29" t="s">
        <v>37</v>
      </c>
      <c r="S36" s="29" t="s">
        <v>37</v>
      </c>
      <c r="T36" s="29" t="s">
        <v>37</v>
      </c>
      <c r="U36" s="29" t="s">
        <v>37</v>
      </c>
      <c r="V36" s="29" t="s">
        <v>36</v>
      </c>
      <c r="W36" s="25"/>
      <c r="X36" s="25"/>
      <c r="Y36" s="34" t="s">
        <v>38</v>
      </c>
      <c r="Z36" s="34" t="s">
        <v>39</v>
      </c>
      <c r="AA36" s="35" t="s">
        <v>40</v>
      </c>
      <c r="AB36" s="47">
        <v>9206557164</v>
      </c>
      <c r="AC36" s="47" t="s">
        <v>205</v>
      </c>
      <c r="AD36" s="37" t="s">
        <v>42</v>
      </c>
    </row>
    <row r="37" spans="1:30" ht="54.75" customHeight="1" x14ac:dyDescent="0.25">
      <c r="A37" s="25">
        <v>31</v>
      </c>
      <c r="B37" s="26" t="s">
        <v>202</v>
      </c>
      <c r="C37" s="26"/>
      <c r="D37" s="26"/>
      <c r="E37" s="27"/>
      <c r="F37" s="28" t="s">
        <v>206</v>
      </c>
      <c r="G37" s="29">
        <v>43</v>
      </c>
      <c r="H37" s="30" t="s">
        <v>207</v>
      </c>
      <c r="I37" s="29" t="s">
        <v>71</v>
      </c>
      <c r="J37" s="30" t="s">
        <v>72</v>
      </c>
      <c r="K37" s="29">
        <v>9</v>
      </c>
      <c r="L37" s="30" t="s">
        <v>208</v>
      </c>
      <c r="M37" s="31" t="s">
        <v>209</v>
      </c>
      <c r="N37" s="56">
        <v>44682</v>
      </c>
      <c r="O37" s="32"/>
      <c r="P37" s="32"/>
      <c r="Q37" s="32" t="str">
        <f t="shared" si="0"/>
        <v>NO DATA</v>
      </c>
      <c r="R37" s="29" t="s">
        <v>37</v>
      </c>
      <c r="S37" s="29" t="s">
        <v>37</v>
      </c>
      <c r="T37" s="29" t="s">
        <v>37</v>
      </c>
      <c r="U37" s="29" t="s">
        <v>37</v>
      </c>
      <c r="V37" s="29" t="s">
        <v>50</v>
      </c>
      <c r="W37" s="25"/>
      <c r="X37" s="25"/>
      <c r="Y37" s="34" t="s">
        <v>58</v>
      </c>
      <c r="Z37" s="34" t="s">
        <v>51</v>
      </c>
      <c r="AA37" s="35" t="s">
        <v>52</v>
      </c>
      <c r="AB37" s="47" t="s">
        <v>210</v>
      </c>
      <c r="AC37" s="47" t="s">
        <v>211</v>
      </c>
      <c r="AD37" s="57" t="s">
        <v>212</v>
      </c>
    </row>
    <row r="38" spans="1:30" ht="54.75" customHeight="1" x14ac:dyDescent="0.25">
      <c r="A38" s="25">
        <v>32</v>
      </c>
      <c r="B38" s="26" t="s">
        <v>213</v>
      </c>
      <c r="C38" s="26"/>
      <c r="D38" s="26"/>
      <c r="E38" s="27"/>
      <c r="F38" s="28" t="s">
        <v>214</v>
      </c>
      <c r="G38" s="29">
        <v>42</v>
      </c>
      <c r="H38" s="30" t="s">
        <v>32</v>
      </c>
      <c r="I38" s="29" t="s">
        <v>178</v>
      </c>
      <c r="J38" s="30" t="s">
        <v>215</v>
      </c>
      <c r="K38" s="29">
        <v>7</v>
      </c>
      <c r="L38" s="30" t="s">
        <v>216</v>
      </c>
      <c r="M38" s="31" t="s">
        <v>74</v>
      </c>
      <c r="N38" s="30" t="s">
        <v>49</v>
      </c>
      <c r="O38" s="32"/>
      <c r="P38" s="32"/>
      <c r="Q38" s="32" t="s">
        <v>217</v>
      </c>
      <c r="R38" s="29" t="s">
        <v>37</v>
      </c>
      <c r="S38" s="29" t="s">
        <v>37</v>
      </c>
      <c r="T38" s="29" t="s">
        <v>37</v>
      </c>
      <c r="U38" s="29" t="s">
        <v>37</v>
      </c>
      <c r="V38" s="29" t="s">
        <v>50</v>
      </c>
      <c r="W38" s="25"/>
      <c r="X38" s="25"/>
      <c r="Y38" s="34" t="s">
        <v>58</v>
      </c>
      <c r="Z38" s="34" t="s">
        <v>51</v>
      </c>
      <c r="AA38" s="35" t="s">
        <v>52</v>
      </c>
      <c r="AB38" s="47">
        <v>9206557164</v>
      </c>
      <c r="AC38" s="47" t="s">
        <v>205</v>
      </c>
      <c r="AD38" s="57" t="s">
        <v>42</v>
      </c>
    </row>
    <row r="39" spans="1:30" ht="54.75" customHeight="1" x14ac:dyDescent="0.25">
      <c r="A39" s="25">
        <v>33</v>
      </c>
      <c r="B39" s="26" t="s">
        <v>218</v>
      </c>
      <c r="C39" s="27"/>
      <c r="D39" s="26"/>
      <c r="E39" s="27"/>
      <c r="F39" s="39" t="s">
        <v>219</v>
      </c>
      <c r="G39" s="29">
        <v>47</v>
      </c>
      <c r="H39" s="30" t="s">
        <v>32</v>
      </c>
      <c r="I39" s="29" t="s">
        <v>71</v>
      </c>
      <c r="J39" s="30" t="s">
        <v>34</v>
      </c>
      <c r="K39" s="29">
        <v>12</v>
      </c>
      <c r="L39" s="30" t="s">
        <v>220</v>
      </c>
      <c r="M39" s="31" t="s">
        <v>221</v>
      </c>
      <c r="N39" s="30" t="s">
        <v>49</v>
      </c>
      <c r="O39" s="32"/>
      <c r="P39" s="32"/>
      <c r="Q39" s="32" t="s">
        <v>217</v>
      </c>
      <c r="R39" s="29" t="s">
        <v>37</v>
      </c>
      <c r="S39" s="29" t="s">
        <v>37</v>
      </c>
      <c r="T39" s="29" t="s">
        <v>37</v>
      </c>
      <c r="U39" s="29" t="s">
        <v>37</v>
      </c>
      <c r="V39" s="29" t="s">
        <v>50</v>
      </c>
      <c r="W39" s="25"/>
      <c r="X39" s="25"/>
      <c r="Y39" s="34" t="s">
        <v>38</v>
      </c>
      <c r="Z39" s="34" t="s">
        <v>39</v>
      </c>
      <c r="AA39" s="35" t="s">
        <v>52</v>
      </c>
      <c r="AB39" s="47">
        <v>9491386821</v>
      </c>
      <c r="AC39" s="47" t="s">
        <v>222</v>
      </c>
      <c r="AD39" s="57" t="s">
        <v>42</v>
      </c>
    </row>
    <row r="40" spans="1:30" ht="54.75" customHeight="1" x14ac:dyDescent="0.25">
      <c r="A40" s="25">
        <v>34</v>
      </c>
      <c r="B40" s="26" t="s">
        <v>218</v>
      </c>
      <c r="C40" s="26"/>
      <c r="D40" s="26"/>
      <c r="E40" s="27"/>
      <c r="F40" s="28" t="s">
        <v>223</v>
      </c>
      <c r="G40" s="29">
        <v>28</v>
      </c>
      <c r="H40" s="30" t="s">
        <v>177</v>
      </c>
      <c r="I40" s="29" t="s">
        <v>178</v>
      </c>
      <c r="J40" s="30" t="s">
        <v>195</v>
      </c>
      <c r="K40" s="29">
        <v>6</v>
      </c>
      <c r="L40" s="30" t="s">
        <v>224</v>
      </c>
      <c r="M40" s="31" t="s">
        <v>102</v>
      </c>
      <c r="N40" s="30" t="s">
        <v>49</v>
      </c>
      <c r="O40" s="32"/>
      <c r="P40" s="32"/>
      <c r="Q40" s="32" t="s">
        <v>217</v>
      </c>
      <c r="R40" s="29" t="s">
        <v>37</v>
      </c>
      <c r="S40" s="29" t="s">
        <v>37</v>
      </c>
      <c r="T40" s="29" t="s">
        <v>37</v>
      </c>
      <c r="U40" s="29" t="s">
        <v>37</v>
      </c>
      <c r="V40" s="29" t="s">
        <v>102</v>
      </c>
      <c r="W40" s="25"/>
      <c r="X40" s="25"/>
      <c r="Y40" s="34" t="s">
        <v>58</v>
      </c>
      <c r="Z40" s="34" t="s">
        <v>51</v>
      </c>
      <c r="AA40" s="35" t="s">
        <v>103</v>
      </c>
      <c r="AB40" s="47" t="s">
        <v>225</v>
      </c>
      <c r="AC40" s="47" t="s">
        <v>226</v>
      </c>
      <c r="AD40" s="57" t="s">
        <v>42</v>
      </c>
    </row>
    <row r="41" spans="1:30" ht="54.75" customHeight="1" x14ac:dyDescent="0.25">
      <c r="A41" s="25">
        <v>35</v>
      </c>
      <c r="B41" s="26" t="s">
        <v>218</v>
      </c>
      <c r="C41" s="26"/>
      <c r="D41" s="26"/>
      <c r="E41" s="27"/>
      <c r="F41" s="28" t="s">
        <v>227</v>
      </c>
      <c r="G41" s="29">
        <v>68</v>
      </c>
      <c r="H41" s="30" t="s">
        <v>32</v>
      </c>
      <c r="I41" s="29" t="s">
        <v>106</v>
      </c>
      <c r="J41" s="30" t="s">
        <v>167</v>
      </c>
      <c r="K41" s="29">
        <v>20</v>
      </c>
      <c r="L41" s="30" t="s">
        <v>228</v>
      </c>
      <c r="M41" s="31" t="s">
        <v>186</v>
      </c>
      <c r="N41" s="30" t="s">
        <v>49</v>
      </c>
      <c r="O41" s="32"/>
      <c r="P41" s="32"/>
      <c r="Q41" s="32" t="str">
        <f t="shared" ref="Q41" si="1">IF(O41="","NO DATA",P41-O41)</f>
        <v>NO DATA</v>
      </c>
      <c r="R41" s="29" t="s">
        <v>37</v>
      </c>
      <c r="S41" s="29" t="s">
        <v>37</v>
      </c>
      <c r="T41" s="29" t="s">
        <v>37</v>
      </c>
      <c r="U41" s="29" t="s">
        <v>37</v>
      </c>
      <c r="V41" s="29" t="s">
        <v>36</v>
      </c>
      <c r="W41" s="25"/>
      <c r="X41" s="25"/>
      <c r="Y41" s="34" t="s">
        <v>58</v>
      </c>
      <c r="Z41" s="34" t="s">
        <v>51</v>
      </c>
      <c r="AA41" s="35" t="s">
        <v>40</v>
      </c>
      <c r="AB41" s="47" t="s">
        <v>229</v>
      </c>
      <c r="AC41" s="47" t="s">
        <v>230</v>
      </c>
      <c r="AD41" s="57" t="s">
        <v>231</v>
      </c>
    </row>
    <row r="42" spans="1:30" ht="54.75" customHeight="1" x14ac:dyDescent="0.25">
      <c r="A42" s="25">
        <v>36</v>
      </c>
      <c r="B42" s="26" t="s">
        <v>232</v>
      </c>
      <c r="C42" s="26"/>
      <c r="D42" s="26"/>
      <c r="E42" s="27"/>
      <c r="F42" s="28" t="s">
        <v>233</v>
      </c>
      <c r="G42" s="29">
        <v>48</v>
      </c>
      <c r="H42" s="30" t="s">
        <v>207</v>
      </c>
      <c r="I42" s="29" t="s">
        <v>234</v>
      </c>
      <c r="J42" s="30" t="s">
        <v>235</v>
      </c>
      <c r="K42" s="29">
        <v>15</v>
      </c>
      <c r="L42" s="30" t="s">
        <v>236</v>
      </c>
      <c r="M42" s="31" t="s">
        <v>237</v>
      </c>
      <c r="N42" s="30" t="s">
        <v>49</v>
      </c>
      <c r="O42" s="32"/>
      <c r="P42" s="32"/>
      <c r="Q42" s="32" t="s">
        <v>217</v>
      </c>
      <c r="R42" s="29" t="s">
        <v>37</v>
      </c>
      <c r="S42" s="29" t="s">
        <v>37</v>
      </c>
      <c r="T42" s="29" t="s">
        <v>37</v>
      </c>
      <c r="U42" s="29" t="s">
        <v>37</v>
      </c>
      <c r="V42" s="29" t="s">
        <v>102</v>
      </c>
      <c r="W42" s="25"/>
      <c r="X42" s="25"/>
      <c r="Y42" s="34" t="s">
        <v>38</v>
      </c>
      <c r="Z42" s="34" t="s">
        <v>51</v>
      </c>
      <c r="AA42" s="35" t="s">
        <v>103</v>
      </c>
      <c r="AB42" s="47">
        <v>9999460666</v>
      </c>
      <c r="AC42" s="47" t="s">
        <v>238</v>
      </c>
      <c r="AD42" s="57" t="s">
        <v>231</v>
      </c>
    </row>
    <row r="43" spans="1:30" ht="54.75" customHeight="1" x14ac:dyDescent="0.25">
      <c r="A43" s="25">
        <v>37</v>
      </c>
      <c r="B43" s="26" t="s">
        <v>239</v>
      </c>
      <c r="C43" s="26"/>
      <c r="D43" s="26"/>
      <c r="E43" s="27"/>
      <c r="F43" s="28" t="s">
        <v>240</v>
      </c>
      <c r="G43" s="29">
        <v>61</v>
      </c>
      <c r="H43" s="30" t="s">
        <v>32</v>
      </c>
      <c r="I43" s="29" t="s">
        <v>127</v>
      </c>
      <c r="J43" s="30" t="s">
        <v>128</v>
      </c>
      <c r="K43" s="29">
        <v>19</v>
      </c>
      <c r="L43" s="30" t="s">
        <v>129</v>
      </c>
      <c r="M43" s="31" t="s">
        <v>129</v>
      </c>
      <c r="N43" s="30" t="s">
        <v>49</v>
      </c>
      <c r="O43" s="32"/>
      <c r="P43" s="32"/>
      <c r="Q43" s="32" t="s">
        <v>217</v>
      </c>
      <c r="R43" s="29" t="s">
        <v>37</v>
      </c>
      <c r="S43" s="29" t="s">
        <v>37</v>
      </c>
      <c r="T43" s="29" t="s">
        <v>37</v>
      </c>
      <c r="U43" s="29" t="s">
        <v>37</v>
      </c>
      <c r="V43" s="29" t="s">
        <v>50</v>
      </c>
      <c r="W43" s="25"/>
      <c r="X43" s="25"/>
      <c r="Y43" s="34" t="s">
        <v>58</v>
      </c>
      <c r="Z43" s="34" t="s">
        <v>51</v>
      </c>
      <c r="AA43" s="35" t="s">
        <v>52</v>
      </c>
      <c r="AB43" s="47">
        <v>9075005071</v>
      </c>
      <c r="AC43" s="47" t="s">
        <v>241</v>
      </c>
      <c r="AD43" s="57" t="s">
        <v>42</v>
      </c>
    </row>
    <row r="44" spans="1:30" ht="54.75" customHeight="1" x14ac:dyDescent="0.25">
      <c r="A44" s="25">
        <v>38</v>
      </c>
      <c r="B44" s="26" t="s">
        <v>242</v>
      </c>
      <c r="C44" s="26"/>
      <c r="D44" s="26"/>
      <c r="E44" s="27"/>
      <c r="F44" s="28" t="s">
        <v>243</v>
      </c>
      <c r="G44" s="29">
        <v>36</v>
      </c>
      <c r="H44" s="30" t="s">
        <v>177</v>
      </c>
      <c r="I44" s="29" t="s">
        <v>127</v>
      </c>
      <c r="J44" s="30" t="s">
        <v>64</v>
      </c>
      <c r="K44" s="29">
        <v>10</v>
      </c>
      <c r="L44" s="30" t="s">
        <v>244</v>
      </c>
      <c r="M44" s="31" t="s">
        <v>197</v>
      </c>
      <c r="N44" s="30" t="s">
        <v>49</v>
      </c>
      <c r="O44" s="32"/>
      <c r="P44" s="32"/>
      <c r="Q44" s="32" t="str">
        <f t="shared" ref="Q44" si="2">IF(O44="","NO DATA",P44-O44)</f>
        <v>NO DATA</v>
      </c>
      <c r="R44" s="29" t="s">
        <v>37</v>
      </c>
      <c r="S44" s="29" t="s">
        <v>37</v>
      </c>
      <c r="T44" s="29" t="s">
        <v>37</v>
      </c>
      <c r="U44" s="29" t="s">
        <v>37</v>
      </c>
      <c r="V44" s="29" t="s">
        <v>102</v>
      </c>
      <c r="W44" s="25"/>
      <c r="X44" s="25"/>
      <c r="Y44" s="34" t="s">
        <v>38</v>
      </c>
      <c r="Z44" s="34" t="s">
        <v>51</v>
      </c>
      <c r="AA44" s="35" t="s">
        <v>103</v>
      </c>
      <c r="AB44" s="47" t="s">
        <v>245</v>
      </c>
      <c r="AC44" s="47" t="s">
        <v>246</v>
      </c>
      <c r="AD44" s="57" t="s">
        <v>42</v>
      </c>
    </row>
    <row r="45" spans="1:30" ht="54.75" customHeight="1" x14ac:dyDescent="0.25">
      <c r="A45" s="25">
        <v>39</v>
      </c>
      <c r="B45" s="26" t="s">
        <v>242</v>
      </c>
      <c r="C45" s="26"/>
      <c r="D45" s="26"/>
      <c r="E45" s="27"/>
      <c r="F45" s="28" t="s">
        <v>247</v>
      </c>
      <c r="G45" s="29">
        <v>34</v>
      </c>
      <c r="H45" s="30" t="s">
        <v>207</v>
      </c>
      <c r="I45" s="29" t="s">
        <v>118</v>
      </c>
      <c r="J45" s="30" t="s">
        <v>248</v>
      </c>
      <c r="K45" s="29">
        <v>7</v>
      </c>
      <c r="L45" s="30" t="s">
        <v>249</v>
      </c>
      <c r="M45" s="31" t="s">
        <v>250</v>
      </c>
      <c r="N45" s="30" t="s">
        <v>49</v>
      </c>
      <c r="O45" s="32"/>
      <c r="P45" s="32"/>
      <c r="Q45" s="32" t="s">
        <v>217</v>
      </c>
      <c r="R45" s="29" t="s">
        <v>37</v>
      </c>
      <c r="S45" s="29" t="s">
        <v>37</v>
      </c>
      <c r="T45" s="29" t="s">
        <v>37</v>
      </c>
      <c r="U45" s="29" t="s">
        <v>37</v>
      </c>
      <c r="V45" s="29" t="s">
        <v>50</v>
      </c>
      <c r="W45" s="25"/>
      <c r="X45" s="25"/>
      <c r="Y45" s="34" t="s">
        <v>58</v>
      </c>
      <c r="Z45" s="34" t="s">
        <v>51</v>
      </c>
      <c r="AA45" s="35" t="s">
        <v>52</v>
      </c>
      <c r="AB45" s="47">
        <v>9164673642</v>
      </c>
      <c r="AC45" s="47" t="s">
        <v>251</v>
      </c>
      <c r="AD45" s="57" t="s">
        <v>42</v>
      </c>
    </row>
    <row r="46" spans="1:30" ht="54.75" customHeight="1" x14ac:dyDescent="0.25">
      <c r="A46" s="25">
        <v>40</v>
      </c>
      <c r="B46" s="26" t="s">
        <v>242</v>
      </c>
      <c r="C46" s="26"/>
      <c r="D46" s="26"/>
      <c r="E46" s="27"/>
      <c r="F46" s="28" t="s">
        <v>252</v>
      </c>
      <c r="G46" s="29">
        <v>69</v>
      </c>
      <c r="H46" s="30" t="s">
        <v>32</v>
      </c>
      <c r="I46" s="29" t="s">
        <v>33</v>
      </c>
      <c r="J46" s="30" t="s">
        <v>253</v>
      </c>
      <c r="K46" s="29">
        <v>28</v>
      </c>
      <c r="L46" s="30" t="s">
        <v>249</v>
      </c>
      <c r="M46" s="31" t="s">
        <v>186</v>
      </c>
      <c r="N46" s="30" t="s">
        <v>49</v>
      </c>
      <c r="O46" s="32"/>
      <c r="P46" s="32"/>
      <c r="Q46" s="32" t="str">
        <f t="shared" ref="Q46" si="3">IF(O46="","NO DATA",P46-O46)</f>
        <v>NO DATA</v>
      </c>
      <c r="R46" s="29" t="s">
        <v>37</v>
      </c>
      <c r="S46" s="29" t="s">
        <v>37</v>
      </c>
      <c r="T46" s="29" t="s">
        <v>37</v>
      </c>
      <c r="U46" s="29" t="s">
        <v>37</v>
      </c>
      <c r="V46" s="29" t="s">
        <v>36</v>
      </c>
      <c r="W46" s="25"/>
      <c r="X46" s="25"/>
      <c r="Y46" s="34" t="s">
        <v>58</v>
      </c>
      <c r="Z46" s="34" t="s">
        <v>51</v>
      </c>
      <c r="AA46" s="35" t="s">
        <v>40</v>
      </c>
      <c r="AB46" s="47" t="s">
        <v>254</v>
      </c>
      <c r="AC46" s="47" t="s">
        <v>255</v>
      </c>
      <c r="AD46" s="57" t="s">
        <v>42</v>
      </c>
    </row>
    <row r="47" spans="1:30" ht="54.75" customHeight="1" x14ac:dyDescent="0.25">
      <c r="A47" s="25">
        <v>41</v>
      </c>
      <c r="B47" s="26" t="s">
        <v>242</v>
      </c>
      <c r="C47" s="26"/>
      <c r="D47" s="26"/>
      <c r="E47" s="27"/>
      <c r="F47" s="28" t="s">
        <v>256</v>
      </c>
      <c r="G47" s="29">
        <v>26</v>
      </c>
      <c r="H47" s="30" t="s">
        <v>83</v>
      </c>
      <c r="I47" s="29" t="s">
        <v>55</v>
      </c>
      <c r="J47" s="30" t="s">
        <v>257</v>
      </c>
      <c r="K47" s="29">
        <v>2</v>
      </c>
      <c r="L47" s="30" t="s">
        <v>258</v>
      </c>
      <c r="M47" s="31" t="s">
        <v>102</v>
      </c>
      <c r="N47" s="30" t="s">
        <v>49</v>
      </c>
      <c r="O47" s="32"/>
      <c r="P47" s="32"/>
      <c r="Q47" s="32" t="s">
        <v>217</v>
      </c>
      <c r="R47" s="29" t="s">
        <v>37</v>
      </c>
      <c r="S47" s="29" t="s">
        <v>37</v>
      </c>
      <c r="T47" s="29" t="s">
        <v>37</v>
      </c>
      <c r="U47" s="29" t="s">
        <v>37</v>
      </c>
      <c r="V47" s="29" t="s">
        <v>102</v>
      </c>
      <c r="W47" s="25"/>
      <c r="X47" s="25"/>
      <c r="Y47" s="34" t="s">
        <v>38</v>
      </c>
      <c r="Z47" s="34" t="s">
        <v>51</v>
      </c>
      <c r="AA47" s="35" t="s">
        <v>103</v>
      </c>
      <c r="AB47" s="47">
        <v>9952233559</v>
      </c>
      <c r="AC47" s="47" t="s">
        <v>259</v>
      </c>
      <c r="AD47" s="57" t="s">
        <v>42</v>
      </c>
    </row>
    <row r="48" spans="1:30" ht="54.75" customHeight="1" x14ac:dyDescent="0.25">
      <c r="A48" s="25">
        <v>42</v>
      </c>
      <c r="B48" s="26" t="s">
        <v>242</v>
      </c>
      <c r="C48" s="26"/>
      <c r="D48" s="26"/>
      <c r="E48" s="27"/>
      <c r="F48" s="28" t="s">
        <v>260</v>
      </c>
      <c r="G48" s="29">
        <v>37</v>
      </c>
      <c r="H48" s="30" t="s">
        <v>177</v>
      </c>
      <c r="I48" s="29" t="s">
        <v>127</v>
      </c>
      <c r="J48" s="30" t="s">
        <v>261</v>
      </c>
      <c r="K48" s="29">
        <v>9</v>
      </c>
      <c r="L48" s="30" t="s">
        <v>262</v>
      </c>
      <c r="M48" s="31" t="s">
        <v>263</v>
      </c>
      <c r="N48" s="30" t="s">
        <v>49</v>
      </c>
      <c r="O48" s="32"/>
      <c r="P48" s="32"/>
      <c r="Q48" s="32" t="s">
        <v>217</v>
      </c>
      <c r="R48" s="29" t="s">
        <v>37</v>
      </c>
      <c r="S48" s="29" t="s">
        <v>37</v>
      </c>
      <c r="T48" s="29" t="s">
        <v>37</v>
      </c>
      <c r="U48" s="29" t="s">
        <v>37</v>
      </c>
      <c r="V48" s="29" t="s">
        <v>102</v>
      </c>
      <c r="W48" s="25"/>
      <c r="X48" s="25"/>
      <c r="Y48" s="34" t="s">
        <v>38</v>
      </c>
      <c r="Z48" s="34" t="s">
        <v>51</v>
      </c>
      <c r="AA48" s="35" t="s">
        <v>103</v>
      </c>
      <c r="AB48" s="47" t="s">
        <v>264</v>
      </c>
      <c r="AC48" s="47" t="s">
        <v>265</v>
      </c>
      <c r="AD48" s="57" t="s">
        <v>42</v>
      </c>
    </row>
    <row r="49" spans="1:31" ht="54.75" customHeight="1" x14ac:dyDescent="0.25">
      <c r="A49" s="25">
        <v>43</v>
      </c>
      <c r="B49" s="26" t="s">
        <v>242</v>
      </c>
      <c r="C49" s="26"/>
      <c r="D49" s="26"/>
      <c r="E49" s="27"/>
      <c r="F49" s="28" t="s">
        <v>266</v>
      </c>
      <c r="G49" s="29">
        <v>44</v>
      </c>
      <c r="H49" s="30" t="s">
        <v>70</v>
      </c>
      <c r="I49" s="29" t="s">
        <v>33</v>
      </c>
      <c r="J49" s="30" t="s">
        <v>267</v>
      </c>
      <c r="K49" s="29">
        <v>22</v>
      </c>
      <c r="L49" s="30" t="s">
        <v>47</v>
      </c>
      <c r="M49" s="31" t="s">
        <v>74</v>
      </c>
      <c r="N49" s="30" t="s">
        <v>49</v>
      </c>
      <c r="O49" s="32"/>
      <c r="P49" s="32"/>
      <c r="Q49" s="32" t="s">
        <v>217</v>
      </c>
      <c r="R49" s="29" t="s">
        <v>37</v>
      </c>
      <c r="S49" s="29" t="s">
        <v>37</v>
      </c>
      <c r="T49" s="29" t="s">
        <v>37</v>
      </c>
      <c r="U49" s="29" t="s">
        <v>37</v>
      </c>
      <c r="V49" s="29" t="s">
        <v>50</v>
      </c>
      <c r="W49" s="25"/>
      <c r="X49" s="25"/>
      <c r="Y49" s="34" t="s">
        <v>58</v>
      </c>
      <c r="Z49" s="34" t="s">
        <v>51</v>
      </c>
      <c r="AA49" s="35" t="s">
        <v>52</v>
      </c>
      <c r="AB49" s="47" t="s">
        <v>268</v>
      </c>
      <c r="AC49" s="47" t="s">
        <v>269</v>
      </c>
      <c r="AD49" s="57" t="s">
        <v>42</v>
      </c>
    </row>
    <row r="50" spans="1:31" ht="54.75" customHeight="1" x14ac:dyDescent="0.25">
      <c r="A50" s="25">
        <v>44</v>
      </c>
      <c r="B50" s="26" t="s">
        <v>270</v>
      </c>
      <c r="C50" s="26"/>
      <c r="D50" s="26"/>
      <c r="E50" s="27"/>
      <c r="F50" s="28" t="s">
        <v>271</v>
      </c>
      <c r="G50" s="29">
        <v>37</v>
      </c>
      <c r="H50" s="30" t="s">
        <v>32</v>
      </c>
      <c r="I50" s="29" t="s">
        <v>234</v>
      </c>
      <c r="J50" s="30" t="s">
        <v>78</v>
      </c>
      <c r="K50" s="29">
        <v>14</v>
      </c>
      <c r="L50" s="30" t="s">
        <v>129</v>
      </c>
      <c r="M50" s="31" t="s">
        <v>74</v>
      </c>
      <c r="N50" s="30" t="s">
        <v>49</v>
      </c>
      <c r="O50" s="32"/>
      <c r="P50" s="32"/>
      <c r="Q50" s="32" t="s">
        <v>217</v>
      </c>
      <c r="R50" s="29" t="s">
        <v>37</v>
      </c>
      <c r="S50" s="29" t="s">
        <v>37</v>
      </c>
      <c r="T50" s="29" t="s">
        <v>37</v>
      </c>
      <c r="U50" s="29" t="s">
        <v>37</v>
      </c>
      <c r="V50" s="29" t="s">
        <v>50</v>
      </c>
      <c r="W50" s="25"/>
      <c r="X50" s="25"/>
      <c r="Y50" s="34" t="s">
        <v>38</v>
      </c>
      <c r="Z50" s="34" t="s">
        <v>39</v>
      </c>
      <c r="AA50" s="35" t="s">
        <v>52</v>
      </c>
      <c r="AB50" s="47"/>
      <c r="AC50" s="47"/>
      <c r="AD50" s="57" t="s">
        <v>42</v>
      </c>
    </row>
    <row r="51" spans="1:31" ht="54.75" customHeight="1" x14ac:dyDescent="0.25">
      <c r="A51" s="25">
        <v>45</v>
      </c>
      <c r="B51" s="26" t="s">
        <v>270</v>
      </c>
      <c r="C51" s="26"/>
      <c r="D51" s="26"/>
      <c r="E51" s="27"/>
      <c r="F51" s="28" t="s">
        <v>272</v>
      </c>
      <c r="G51" s="29">
        <v>39</v>
      </c>
      <c r="H51" s="30" t="s">
        <v>70</v>
      </c>
      <c r="I51" s="29" t="s">
        <v>273</v>
      </c>
      <c r="J51" s="30" t="s">
        <v>274</v>
      </c>
      <c r="K51" s="29">
        <v>16</v>
      </c>
      <c r="L51" s="30" t="s">
        <v>65</v>
      </c>
      <c r="M51" s="31" t="s">
        <v>74</v>
      </c>
      <c r="N51" s="30" t="s">
        <v>49</v>
      </c>
      <c r="O51" s="32"/>
      <c r="P51" s="32"/>
      <c r="Q51" s="32" t="s">
        <v>217</v>
      </c>
      <c r="R51" s="29" t="s">
        <v>37</v>
      </c>
      <c r="S51" s="29" t="s">
        <v>37</v>
      </c>
      <c r="T51" s="29" t="s">
        <v>37</v>
      </c>
      <c r="U51" s="29" t="s">
        <v>37</v>
      </c>
      <c r="V51" s="29" t="s">
        <v>50</v>
      </c>
      <c r="W51" s="25"/>
      <c r="X51" s="25"/>
      <c r="Y51" s="34" t="s">
        <v>58</v>
      </c>
      <c r="Z51" s="34" t="s">
        <v>51</v>
      </c>
      <c r="AA51" s="35" t="s">
        <v>52</v>
      </c>
      <c r="AB51" s="47" t="s">
        <v>275</v>
      </c>
      <c r="AC51" s="47" t="s">
        <v>276</v>
      </c>
      <c r="AD51" s="57" t="s">
        <v>42</v>
      </c>
    </row>
    <row r="52" spans="1:31" ht="54.75" customHeight="1" x14ac:dyDescent="0.25">
      <c r="A52" s="25">
        <v>46</v>
      </c>
      <c r="B52" s="26" t="s">
        <v>270</v>
      </c>
      <c r="C52" s="26"/>
      <c r="D52" s="26"/>
      <c r="E52" s="27"/>
      <c r="F52" s="28" t="s">
        <v>277</v>
      </c>
      <c r="G52" s="29">
        <v>51</v>
      </c>
      <c r="H52" s="30" t="s">
        <v>70</v>
      </c>
      <c r="I52" s="29" t="s">
        <v>106</v>
      </c>
      <c r="J52" s="30" t="s">
        <v>159</v>
      </c>
      <c r="K52" s="29">
        <v>28</v>
      </c>
      <c r="L52" s="30" t="s">
        <v>85</v>
      </c>
      <c r="M52" s="31" t="s">
        <v>74</v>
      </c>
      <c r="N52" s="30" t="s">
        <v>49</v>
      </c>
      <c r="O52" s="32"/>
      <c r="P52" s="32"/>
      <c r="Q52" s="32" t="s">
        <v>217</v>
      </c>
      <c r="R52" s="29" t="s">
        <v>37</v>
      </c>
      <c r="S52" s="29" t="s">
        <v>37</v>
      </c>
      <c r="T52" s="29" t="s">
        <v>37</v>
      </c>
      <c r="U52" s="29" t="s">
        <v>37</v>
      </c>
      <c r="V52" s="29" t="s">
        <v>50</v>
      </c>
      <c r="W52" s="25"/>
      <c r="X52" s="25"/>
      <c r="Y52" s="34" t="s">
        <v>58</v>
      </c>
      <c r="Z52" s="34" t="s">
        <v>51</v>
      </c>
      <c r="AA52" s="35" t="s">
        <v>52</v>
      </c>
      <c r="AB52" s="47" t="s">
        <v>278</v>
      </c>
      <c r="AC52" s="47" t="s">
        <v>279</v>
      </c>
      <c r="AD52" s="57" t="s">
        <v>42</v>
      </c>
    </row>
    <row r="53" spans="1:31" ht="54.75" customHeight="1" x14ac:dyDescent="0.25">
      <c r="A53" s="25">
        <v>47</v>
      </c>
      <c r="B53" s="26" t="s">
        <v>280</v>
      </c>
      <c r="C53" s="26"/>
      <c r="D53" s="26"/>
      <c r="E53" s="27"/>
      <c r="F53" s="28" t="s">
        <v>281</v>
      </c>
      <c r="G53" s="29">
        <v>46</v>
      </c>
      <c r="H53" s="30" t="s">
        <v>282</v>
      </c>
      <c r="I53" s="29" t="s">
        <v>127</v>
      </c>
      <c r="J53" s="30" t="s">
        <v>283</v>
      </c>
      <c r="K53" s="29">
        <v>18</v>
      </c>
      <c r="L53" s="30" t="s">
        <v>141</v>
      </c>
      <c r="M53" s="31" t="s">
        <v>284</v>
      </c>
      <c r="N53" s="30" t="s">
        <v>49</v>
      </c>
      <c r="O53" s="32"/>
      <c r="P53" s="32"/>
      <c r="Q53" s="32" t="str">
        <f t="shared" ref="Q53" si="4">IF(O53="","NO DATA",P53-O53)</f>
        <v>NO DATA</v>
      </c>
      <c r="R53" s="29" t="s">
        <v>37</v>
      </c>
      <c r="S53" s="29" t="s">
        <v>37</v>
      </c>
      <c r="T53" s="29" t="s">
        <v>37</v>
      </c>
      <c r="U53" s="29" t="s">
        <v>37</v>
      </c>
      <c r="V53" s="29" t="s">
        <v>50</v>
      </c>
      <c r="W53" s="25"/>
      <c r="X53" s="25"/>
      <c r="Y53" s="34" t="s">
        <v>38</v>
      </c>
      <c r="Z53" s="34" t="s">
        <v>39</v>
      </c>
      <c r="AA53" s="35" t="s">
        <v>52</v>
      </c>
      <c r="AB53" s="47">
        <v>9211709915</v>
      </c>
      <c r="AC53" s="47" t="s">
        <v>285</v>
      </c>
      <c r="AD53" s="57" t="s">
        <v>42</v>
      </c>
    </row>
    <row r="54" spans="1:31" ht="54.75" customHeight="1" x14ac:dyDescent="0.25">
      <c r="A54" s="25">
        <v>48</v>
      </c>
      <c r="B54" s="26" t="s">
        <v>280</v>
      </c>
      <c r="C54" s="26"/>
      <c r="D54" s="26"/>
      <c r="E54" s="27"/>
      <c r="F54" s="28" t="s">
        <v>286</v>
      </c>
      <c r="G54" s="29">
        <v>47</v>
      </c>
      <c r="H54" s="30" t="s">
        <v>32</v>
      </c>
      <c r="I54" s="29" t="s">
        <v>88</v>
      </c>
      <c r="J54" s="30" t="s">
        <v>287</v>
      </c>
      <c r="K54" s="29">
        <v>18</v>
      </c>
      <c r="L54" s="30" t="s">
        <v>288</v>
      </c>
      <c r="M54" s="31" t="s">
        <v>74</v>
      </c>
      <c r="N54" s="30" t="s">
        <v>49</v>
      </c>
      <c r="O54" s="32"/>
      <c r="P54" s="32"/>
      <c r="Q54" s="32" t="s">
        <v>217</v>
      </c>
      <c r="R54" s="29" t="s">
        <v>37</v>
      </c>
      <c r="S54" s="29" t="s">
        <v>37</v>
      </c>
      <c r="T54" s="29" t="s">
        <v>37</v>
      </c>
      <c r="U54" s="29" t="s">
        <v>37</v>
      </c>
      <c r="V54" s="29" t="s">
        <v>50</v>
      </c>
      <c r="W54" s="25"/>
      <c r="X54" s="25"/>
      <c r="Y54" s="34" t="s">
        <v>38</v>
      </c>
      <c r="Z54" s="34" t="s">
        <v>51</v>
      </c>
      <c r="AA54" s="35" t="s">
        <v>52</v>
      </c>
      <c r="AB54" s="47" t="s">
        <v>289</v>
      </c>
      <c r="AC54" s="47" t="s">
        <v>290</v>
      </c>
      <c r="AD54" s="57" t="s">
        <v>231</v>
      </c>
    </row>
    <row r="55" spans="1:31" ht="54.75" customHeight="1" x14ac:dyDescent="0.25">
      <c r="A55" s="25">
        <v>49</v>
      </c>
      <c r="B55" s="26" t="s">
        <v>280</v>
      </c>
      <c r="C55" s="26"/>
      <c r="D55" s="26"/>
      <c r="E55" s="27"/>
      <c r="F55" s="28" t="s">
        <v>291</v>
      </c>
      <c r="G55" s="29">
        <v>60</v>
      </c>
      <c r="H55" s="30" t="s">
        <v>207</v>
      </c>
      <c r="I55" s="29" t="s">
        <v>118</v>
      </c>
      <c r="J55" s="30" t="s">
        <v>179</v>
      </c>
      <c r="K55" s="29">
        <v>28</v>
      </c>
      <c r="L55" s="30" t="s">
        <v>292</v>
      </c>
      <c r="M55" s="31" t="s">
        <v>186</v>
      </c>
      <c r="N55" s="30" t="s">
        <v>49</v>
      </c>
      <c r="O55" s="32"/>
      <c r="P55" s="32"/>
      <c r="Q55" s="32" t="str">
        <f t="shared" ref="Q55" si="5">IF(O55="","NO DATA",P55-O55)</f>
        <v>NO DATA</v>
      </c>
      <c r="R55" s="29" t="s">
        <v>37</v>
      </c>
      <c r="S55" s="29" t="s">
        <v>37</v>
      </c>
      <c r="T55" s="29" t="s">
        <v>37</v>
      </c>
      <c r="U55" s="29" t="s">
        <v>37</v>
      </c>
      <c r="V55" s="29" t="s">
        <v>36</v>
      </c>
      <c r="W55" s="25"/>
      <c r="X55" s="25"/>
      <c r="Y55" s="34" t="s">
        <v>38</v>
      </c>
      <c r="Z55" s="34" t="s">
        <v>51</v>
      </c>
      <c r="AA55" s="35" t="s">
        <v>40</v>
      </c>
      <c r="AB55" s="47">
        <v>9611418447</v>
      </c>
      <c r="AC55" s="47" t="s">
        <v>293</v>
      </c>
      <c r="AD55" s="57" t="s">
        <v>42</v>
      </c>
    </row>
    <row r="56" spans="1:31" ht="54.75" customHeight="1" x14ac:dyDescent="0.25">
      <c r="A56" s="25">
        <v>50</v>
      </c>
      <c r="B56" s="26" t="s">
        <v>294</v>
      </c>
      <c r="C56" s="26"/>
      <c r="D56" s="26"/>
      <c r="E56" s="41"/>
      <c r="F56" s="42" t="s">
        <v>295</v>
      </c>
      <c r="G56" s="43">
        <v>46</v>
      </c>
      <c r="H56" s="44" t="s">
        <v>207</v>
      </c>
      <c r="I56" s="43" t="s">
        <v>71</v>
      </c>
      <c r="J56" s="44" t="s">
        <v>296</v>
      </c>
      <c r="K56" s="43">
        <v>17</v>
      </c>
      <c r="L56" s="30" t="s">
        <v>297</v>
      </c>
      <c r="M56" s="58" t="s">
        <v>298</v>
      </c>
      <c r="N56" s="30" t="s">
        <v>49</v>
      </c>
      <c r="O56" s="32"/>
      <c r="P56" s="32"/>
      <c r="Q56" s="32" t="s">
        <v>217</v>
      </c>
      <c r="R56" s="29" t="s">
        <v>37</v>
      </c>
      <c r="S56" s="29" t="s">
        <v>37</v>
      </c>
      <c r="T56" s="29" t="s">
        <v>37</v>
      </c>
      <c r="U56" s="29" t="s">
        <v>37</v>
      </c>
      <c r="V56" s="29" t="s">
        <v>50</v>
      </c>
      <c r="W56" s="25"/>
      <c r="X56" s="25"/>
      <c r="Y56" s="34" t="s">
        <v>38</v>
      </c>
      <c r="Z56" s="34" t="s">
        <v>51</v>
      </c>
      <c r="AA56" s="35" t="s">
        <v>52</v>
      </c>
      <c r="AB56" s="47" t="s">
        <v>299</v>
      </c>
      <c r="AC56" s="47" t="s">
        <v>300</v>
      </c>
      <c r="AD56" s="57" t="s">
        <v>42</v>
      </c>
    </row>
    <row r="57" spans="1:31" ht="54.75" customHeight="1" x14ac:dyDescent="0.25">
      <c r="A57" s="25">
        <v>51</v>
      </c>
      <c r="B57" s="26" t="s">
        <v>294</v>
      </c>
      <c r="C57" s="26"/>
      <c r="D57" s="26"/>
      <c r="E57" s="27"/>
      <c r="F57" s="28" t="s">
        <v>301</v>
      </c>
      <c r="G57" s="43">
        <v>31</v>
      </c>
      <c r="H57" s="30" t="s">
        <v>83</v>
      </c>
      <c r="I57" s="43" t="s">
        <v>71</v>
      </c>
      <c r="J57" s="44" t="s">
        <v>302</v>
      </c>
      <c r="K57" s="29">
        <v>10</v>
      </c>
      <c r="L57" s="30" t="s">
        <v>303</v>
      </c>
      <c r="M57" s="31" t="s">
        <v>304</v>
      </c>
      <c r="N57" s="30" t="s">
        <v>49</v>
      </c>
      <c r="O57" s="32"/>
      <c r="P57" s="32"/>
      <c r="Q57" s="32" t="s">
        <v>217</v>
      </c>
      <c r="R57" s="29" t="s">
        <v>37</v>
      </c>
      <c r="S57" s="29" t="s">
        <v>37</v>
      </c>
      <c r="T57" s="29" t="s">
        <v>37</v>
      </c>
      <c r="U57" s="29" t="s">
        <v>37</v>
      </c>
      <c r="V57" s="29" t="s">
        <v>50</v>
      </c>
      <c r="W57" s="25"/>
      <c r="X57" s="25"/>
      <c r="Y57" s="34" t="s">
        <v>38</v>
      </c>
      <c r="Z57" s="34" t="s">
        <v>39</v>
      </c>
      <c r="AA57" s="35" t="s">
        <v>52</v>
      </c>
      <c r="AB57" s="47" t="s">
        <v>305</v>
      </c>
      <c r="AC57" s="47" t="s">
        <v>306</v>
      </c>
      <c r="AD57" s="57" t="s">
        <v>42</v>
      </c>
    </row>
    <row r="58" spans="1:31" ht="54.75" customHeight="1" x14ac:dyDescent="0.25">
      <c r="A58" s="25">
        <v>52</v>
      </c>
      <c r="B58" s="26" t="s">
        <v>294</v>
      </c>
      <c r="C58" s="26"/>
      <c r="D58" s="26"/>
      <c r="E58" s="27"/>
      <c r="F58" s="28" t="s">
        <v>307</v>
      </c>
      <c r="G58" s="43">
        <v>35</v>
      </c>
      <c r="H58" s="30" t="s">
        <v>83</v>
      </c>
      <c r="I58" s="43" t="s">
        <v>55</v>
      </c>
      <c r="J58" s="44" t="s">
        <v>84</v>
      </c>
      <c r="K58" s="29">
        <v>6</v>
      </c>
      <c r="L58" s="30" t="s">
        <v>308</v>
      </c>
      <c r="M58" s="31" t="s">
        <v>309</v>
      </c>
      <c r="N58" s="30" t="s">
        <v>49</v>
      </c>
      <c r="O58" s="32"/>
      <c r="P58" s="32"/>
      <c r="Q58" s="32" t="s">
        <v>217</v>
      </c>
      <c r="R58" s="29" t="s">
        <v>37</v>
      </c>
      <c r="S58" s="29" t="s">
        <v>37</v>
      </c>
      <c r="T58" s="29" t="s">
        <v>37</v>
      </c>
      <c r="U58" s="29" t="s">
        <v>37</v>
      </c>
      <c r="V58" s="29" t="s">
        <v>50</v>
      </c>
      <c r="W58" s="25"/>
      <c r="X58" s="25"/>
      <c r="Y58" s="34" t="s">
        <v>38</v>
      </c>
      <c r="Z58" s="34" t="s">
        <v>39</v>
      </c>
      <c r="AA58" s="35" t="s">
        <v>52</v>
      </c>
      <c r="AB58" s="47">
        <v>9367887080</v>
      </c>
      <c r="AC58" s="47" t="s">
        <v>310</v>
      </c>
      <c r="AD58" s="57" t="s">
        <v>42</v>
      </c>
    </row>
    <row r="59" spans="1:31" ht="54.75" customHeight="1" x14ac:dyDescent="0.25">
      <c r="A59" s="25">
        <v>53</v>
      </c>
      <c r="B59" s="26" t="s">
        <v>311</v>
      </c>
      <c r="C59" s="40"/>
      <c r="D59" s="26"/>
      <c r="E59" s="41"/>
      <c r="F59" s="42" t="s">
        <v>312</v>
      </c>
      <c r="G59" s="43">
        <v>30</v>
      </c>
      <c r="H59" s="44" t="s">
        <v>32</v>
      </c>
      <c r="I59" s="43" t="s">
        <v>55</v>
      </c>
      <c r="J59" s="44" t="s">
        <v>313</v>
      </c>
      <c r="K59" s="43">
        <v>3</v>
      </c>
      <c r="L59" s="44" t="s">
        <v>314</v>
      </c>
      <c r="M59" s="31" t="s">
        <v>315</v>
      </c>
      <c r="N59" s="30" t="s">
        <v>49</v>
      </c>
      <c r="O59" s="32"/>
      <c r="P59" s="32"/>
      <c r="Q59" s="32" t="s">
        <v>217</v>
      </c>
      <c r="R59" s="29" t="s">
        <v>37</v>
      </c>
      <c r="S59" s="29" t="s">
        <v>37</v>
      </c>
      <c r="T59" s="29" t="s">
        <v>37</v>
      </c>
      <c r="U59" s="29" t="s">
        <v>37</v>
      </c>
      <c r="V59" s="29" t="s">
        <v>50</v>
      </c>
      <c r="W59" s="25"/>
      <c r="X59" s="25"/>
      <c r="Y59" s="34" t="s">
        <v>58</v>
      </c>
      <c r="Z59" s="34" t="s">
        <v>51</v>
      </c>
      <c r="AA59" s="35" t="s">
        <v>52</v>
      </c>
      <c r="AB59" s="47">
        <v>9052272960</v>
      </c>
      <c r="AC59" s="47" t="s">
        <v>316</v>
      </c>
      <c r="AD59" s="57" t="s">
        <v>42</v>
      </c>
    </row>
    <row r="60" spans="1:31" ht="54.75" customHeight="1" x14ac:dyDescent="0.25">
      <c r="A60" s="25">
        <v>54</v>
      </c>
      <c r="B60" s="26" t="s">
        <v>311</v>
      </c>
      <c r="C60" s="26"/>
      <c r="D60" s="26"/>
      <c r="E60" s="27"/>
      <c r="F60" s="28" t="s">
        <v>317</v>
      </c>
      <c r="G60" s="43">
        <v>38</v>
      </c>
      <c r="H60" s="30" t="s">
        <v>32</v>
      </c>
      <c r="I60" s="43" t="s">
        <v>63</v>
      </c>
      <c r="J60" s="44" t="s">
        <v>318</v>
      </c>
      <c r="K60" s="29">
        <v>15</v>
      </c>
      <c r="L60" s="44" t="s">
        <v>85</v>
      </c>
      <c r="M60" s="31" t="s">
        <v>319</v>
      </c>
      <c r="N60" s="30" t="s">
        <v>49</v>
      </c>
      <c r="O60" s="32"/>
      <c r="P60" s="32"/>
      <c r="Q60" s="32" t="s">
        <v>217</v>
      </c>
      <c r="R60" s="29" t="s">
        <v>37</v>
      </c>
      <c r="S60" s="29" t="s">
        <v>37</v>
      </c>
      <c r="T60" s="29" t="s">
        <v>37</v>
      </c>
      <c r="U60" s="29" t="s">
        <v>37</v>
      </c>
      <c r="V60" s="29" t="s">
        <v>50</v>
      </c>
      <c r="W60" s="25"/>
      <c r="X60" s="25"/>
      <c r="Y60" s="34" t="s">
        <v>38</v>
      </c>
      <c r="Z60" s="34" t="s">
        <v>51</v>
      </c>
      <c r="AA60" s="35" t="s">
        <v>52</v>
      </c>
      <c r="AB60" s="47">
        <v>9497704732</v>
      </c>
      <c r="AC60" s="47" t="s">
        <v>320</v>
      </c>
      <c r="AD60" s="57" t="s">
        <v>42</v>
      </c>
    </row>
    <row r="61" spans="1:31" ht="54.75" customHeight="1" x14ac:dyDescent="0.25">
      <c r="A61" s="25">
        <v>55</v>
      </c>
      <c r="B61" s="26" t="s">
        <v>321</v>
      </c>
      <c r="C61" s="26"/>
      <c r="D61" s="26"/>
      <c r="E61" s="27"/>
      <c r="F61" s="28" t="s">
        <v>322</v>
      </c>
      <c r="G61" s="29">
        <v>35</v>
      </c>
      <c r="H61" s="30" t="s">
        <v>177</v>
      </c>
      <c r="I61" s="29" t="s">
        <v>178</v>
      </c>
      <c r="J61" s="30" t="s">
        <v>323</v>
      </c>
      <c r="K61" s="29">
        <v>4</v>
      </c>
      <c r="L61" s="30" t="s">
        <v>324</v>
      </c>
      <c r="M61" s="31" t="s">
        <v>325</v>
      </c>
      <c r="N61" s="30" t="s">
        <v>49</v>
      </c>
      <c r="O61" s="32"/>
      <c r="P61" s="32"/>
      <c r="Q61" s="32" t="s">
        <v>217</v>
      </c>
      <c r="R61" s="29" t="s">
        <v>37</v>
      </c>
      <c r="S61" s="29" t="s">
        <v>37</v>
      </c>
      <c r="T61" s="29" t="s">
        <v>37</v>
      </c>
      <c r="U61" s="29" t="s">
        <v>37</v>
      </c>
      <c r="V61" s="29" t="s">
        <v>50</v>
      </c>
      <c r="W61" s="25"/>
      <c r="X61" s="25"/>
      <c r="Y61" s="34" t="s">
        <v>38</v>
      </c>
      <c r="Z61" s="34" t="s">
        <v>51</v>
      </c>
      <c r="AA61" s="35" t="s">
        <v>52</v>
      </c>
      <c r="AB61" s="47">
        <v>9359911687</v>
      </c>
      <c r="AC61" s="47" t="s">
        <v>326</v>
      </c>
      <c r="AD61" s="57" t="s">
        <v>42</v>
      </c>
      <c r="AE61">
        <v>2017</v>
      </c>
    </row>
    <row r="62" spans="1:31" ht="54.75" customHeight="1" x14ac:dyDescent="0.25">
      <c r="A62" s="25">
        <v>56</v>
      </c>
      <c r="B62" s="26" t="s">
        <v>321</v>
      </c>
      <c r="C62" s="26"/>
      <c r="D62" s="26"/>
      <c r="E62" s="27"/>
      <c r="F62" s="59" t="s">
        <v>327</v>
      </c>
      <c r="G62" s="60">
        <v>40</v>
      </c>
      <c r="H62" s="61" t="s">
        <v>83</v>
      </c>
      <c r="I62" s="60" t="s">
        <v>63</v>
      </c>
      <c r="J62" s="61" t="s">
        <v>328</v>
      </c>
      <c r="K62" s="60">
        <v>12</v>
      </c>
      <c r="L62" s="61" t="s">
        <v>85</v>
      </c>
      <c r="M62" s="62" t="s">
        <v>173</v>
      </c>
      <c r="N62" s="61" t="s">
        <v>49</v>
      </c>
      <c r="O62" s="63"/>
      <c r="P62" s="63"/>
      <c r="Q62" s="63" t="s">
        <v>217</v>
      </c>
      <c r="R62" s="60" t="s">
        <v>37</v>
      </c>
      <c r="S62" s="60" t="s">
        <v>37</v>
      </c>
      <c r="T62" s="60" t="s">
        <v>37</v>
      </c>
      <c r="U62" s="60" t="s">
        <v>37</v>
      </c>
      <c r="V62" s="60" t="s">
        <v>173</v>
      </c>
      <c r="W62" s="25"/>
      <c r="X62" s="25"/>
      <c r="Y62" s="34" t="s">
        <v>58</v>
      </c>
      <c r="Z62" s="34" t="s">
        <v>51</v>
      </c>
      <c r="AA62" s="35" t="s">
        <v>52</v>
      </c>
      <c r="AB62" s="47" t="s">
        <v>329</v>
      </c>
      <c r="AC62" s="47" t="s">
        <v>330</v>
      </c>
      <c r="AD62" s="57" t="s">
        <v>42</v>
      </c>
    </row>
    <row r="63" spans="1:31" ht="54.75" customHeight="1" x14ac:dyDescent="0.25">
      <c r="A63" s="25">
        <v>57</v>
      </c>
      <c r="B63" s="26" t="s">
        <v>321</v>
      </c>
      <c r="C63" s="26"/>
      <c r="D63" s="26"/>
      <c r="E63" s="27"/>
      <c r="F63" s="28" t="s">
        <v>331</v>
      </c>
      <c r="G63" s="29">
        <v>58</v>
      </c>
      <c r="H63" s="30" t="s">
        <v>32</v>
      </c>
      <c r="I63" s="29" t="s">
        <v>33</v>
      </c>
      <c r="J63" s="30" t="s">
        <v>163</v>
      </c>
      <c r="K63" s="29">
        <v>20</v>
      </c>
      <c r="L63" s="30" t="s">
        <v>332</v>
      </c>
      <c r="M63" s="31" t="s">
        <v>186</v>
      </c>
      <c r="N63" s="30" t="s">
        <v>49</v>
      </c>
      <c r="O63" s="32"/>
      <c r="P63" s="32"/>
      <c r="Q63" s="32" t="str">
        <f t="shared" ref="Q63" si="6">IF(O63="","NO DATA",P63-O63)</f>
        <v>NO DATA</v>
      </c>
      <c r="R63" s="29" t="s">
        <v>37</v>
      </c>
      <c r="S63" s="29" t="s">
        <v>37</v>
      </c>
      <c r="T63" s="29" t="s">
        <v>37</v>
      </c>
      <c r="U63" s="29" t="s">
        <v>37</v>
      </c>
      <c r="V63" s="29" t="s">
        <v>36</v>
      </c>
      <c r="W63" s="25"/>
      <c r="X63" s="25"/>
      <c r="Y63" s="34" t="s">
        <v>38</v>
      </c>
      <c r="Z63" s="34" t="s">
        <v>39</v>
      </c>
      <c r="AA63" s="35" t="s">
        <v>40</v>
      </c>
      <c r="AB63" s="47">
        <v>9101832044</v>
      </c>
      <c r="AC63" s="47" t="s">
        <v>333</v>
      </c>
      <c r="AD63" s="57" t="s">
        <v>42</v>
      </c>
    </row>
    <row r="64" spans="1:31" ht="54.75" customHeight="1" x14ac:dyDescent="0.25">
      <c r="A64" s="25">
        <v>58</v>
      </c>
      <c r="B64" s="26" t="s">
        <v>334</v>
      </c>
      <c r="C64" s="26"/>
      <c r="D64" s="26"/>
      <c r="E64" s="27"/>
      <c r="F64" s="28" t="s">
        <v>335</v>
      </c>
      <c r="G64" s="29">
        <v>29</v>
      </c>
      <c r="H64" s="30" t="s">
        <v>336</v>
      </c>
      <c r="I64" s="29" t="s">
        <v>77</v>
      </c>
      <c r="J64" s="30" t="s">
        <v>94</v>
      </c>
      <c r="K64" s="29">
        <v>7</v>
      </c>
      <c r="L64" s="30" t="s">
        <v>85</v>
      </c>
      <c r="M64" s="31" t="s">
        <v>337</v>
      </c>
      <c r="N64" s="30" t="s">
        <v>49</v>
      </c>
      <c r="O64" s="32"/>
      <c r="P64" s="32"/>
      <c r="Q64" s="32" t="s">
        <v>217</v>
      </c>
      <c r="R64" s="29" t="s">
        <v>37</v>
      </c>
      <c r="S64" s="29" t="s">
        <v>37</v>
      </c>
      <c r="T64" s="29" t="s">
        <v>37</v>
      </c>
      <c r="U64" s="29" t="s">
        <v>37</v>
      </c>
      <c r="V64" s="29" t="s">
        <v>50</v>
      </c>
      <c r="W64" s="25"/>
      <c r="X64" s="25"/>
      <c r="Y64" s="34" t="s">
        <v>58</v>
      </c>
      <c r="Z64" s="34" t="s">
        <v>51</v>
      </c>
      <c r="AA64" s="35" t="s">
        <v>52</v>
      </c>
      <c r="AB64" s="47" t="s">
        <v>338</v>
      </c>
      <c r="AC64" s="47" t="s">
        <v>339</v>
      </c>
      <c r="AD64" s="57" t="s">
        <v>231</v>
      </c>
    </row>
    <row r="65" spans="1:30" ht="54.75" customHeight="1" x14ac:dyDescent="0.25">
      <c r="A65" s="25">
        <v>59</v>
      </c>
      <c r="B65" s="26" t="s">
        <v>340</v>
      </c>
      <c r="C65" s="26"/>
      <c r="D65" s="26"/>
      <c r="E65" s="27"/>
      <c r="F65" s="28" t="s">
        <v>341</v>
      </c>
      <c r="G65" s="29">
        <v>28</v>
      </c>
      <c r="H65" s="30" t="s">
        <v>83</v>
      </c>
      <c r="I65" s="29" t="s">
        <v>139</v>
      </c>
      <c r="J65" s="30" t="s">
        <v>296</v>
      </c>
      <c r="K65" s="29">
        <v>2</v>
      </c>
      <c r="L65" s="30" t="s">
        <v>342</v>
      </c>
      <c r="M65" s="31" t="s">
        <v>343</v>
      </c>
      <c r="N65" s="30" t="s">
        <v>49</v>
      </c>
      <c r="O65" s="32"/>
      <c r="P65" s="32"/>
      <c r="Q65" s="32" t="s">
        <v>217</v>
      </c>
      <c r="R65" s="29" t="s">
        <v>37</v>
      </c>
      <c r="S65" s="29" t="s">
        <v>37</v>
      </c>
      <c r="T65" s="29" t="s">
        <v>37</v>
      </c>
      <c r="U65" s="29" t="s">
        <v>37</v>
      </c>
      <c r="V65" s="29" t="s">
        <v>50</v>
      </c>
      <c r="W65" s="25"/>
      <c r="X65" s="25"/>
      <c r="Y65" s="34" t="s">
        <v>38</v>
      </c>
      <c r="Z65" s="34" t="s">
        <v>51</v>
      </c>
      <c r="AA65" s="35" t="s">
        <v>52</v>
      </c>
      <c r="AB65" s="47">
        <v>9398899175</v>
      </c>
      <c r="AC65" s="47" t="s">
        <v>344</v>
      </c>
      <c r="AD65" s="57" t="s">
        <v>42</v>
      </c>
    </row>
    <row r="66" spans="1:30" ht="54.75" customHeight="1" x14ac:dyDescent="0.25">
      <c r="A66" s="25">
        <v>60</v>
      </c>
      <c r="B66" s="64" t="s">
        <v>345</v>
      </c>
      <c r="C66" s="26"/>
      <c r="D66" s="26"/>
      <c r="E66" s="27"/>
      <c r="F66" s="28" t="s">
        <v>322</v>
      </c>
      <c r="G66" s="29">
        <v>35</v>
      </c>
      <c r="H66" s="30" t="s">
        <v>177</v>
      </c>
      <c r="I66" s="29" t="s">
        <v>178</v>
      </c>
      <c r="J66" s="30" t="s">
        <v>323</v>
      </c>
      <c r="K66" s="29">
        <v>4</v>
      </c>
      <c r="L66" s="30" t="s">
        <v>324</v>
      </c>
      <c r="M66" s="31" t="s">
        <v>346</v>
      </c>
      <c r="N66" s="30" t="s">
        <v>49</v>
      </c>
      <c r="O66" s="32"/>
      <c r="P66" s="32"/>
      <c r="Q66" s="32" t="s">
        <v>217</v>
      </c>
      <c r="R66" s="29" t="s">
        <v>37</v>
      </c>
      <c r="S66" s="29" t="s">
        <v>37</v>
      </c>
      <c r="T66" s="29" t="s">
        <v>37</v>
      </c>
      <c r="U66" s="29" t="s">
        <v>37</v>
      </c>
      <c r="V66" s="29" t="s">
        <v>50</v>
      </c>
      <c r="W66" s="25"/>
      <c r="X66" s="25"/>
      <c r="Y66" s="34" t="s">
        <v>38</v>
      </c>
      <c r="Z66" s="34" t="s">
        <v>51</v>
      </c>
      <c r="AA66" s="35" t="s">
        <v>52</v>
      </c>
      <c r="AB66" s="47">
        <v>9359911687</v>
      </c>
      <c r="AC66" s="47" t="s">
        <v>326</v>
      </c>
      <c r="AD66" s="57" t="s">
        <v>42</v>
      </c>
    </row>
    <row r="67" spans="1:30" ht="54.75" customHeight="1" x14ac:dyDescent="0.25">
      <c r="A67" s="25">
        <v>61</v>
      </c>
      <c r="B67" s="64" t="s">
        <v>345</v>
      </c>
      <c r="C67" s="26"/>
      <c r="D67" s="26"/>
      <c r="E67" s="27"/>
      <c r="F67" s="28" t="s">
        <v>347</v>
      </c>
      <c r="G67" s="29">
        <v>46</v>
      </c>
      <c r="H67" s="30" t="s">
        <v>32</v>
      </c>
      <c r="I67" s="29" t="s">
        <v>71</v>
      </c>
      <c r="J67" s="30" t="s">
        <v>348</v>
      </c>
      <c r="K67" s="29">
        <v>8</v>
      </c>
      <c r="L67" s="30" t="s">
        <v>349</v>
      </c>
      <c r="M67" s="31" t="s">
        <v>346</v>
      </c>
      <c r="N67" s="30" t="s">
        <v>49</v>
      </c>
      <c r="O67" s="32"/>
      <c r="P67" s="32"/>
      <c r="Q67" s="32" t="s">
        <v>217</v>
      </c>
      <c r="R67" s="29" t="s">
        <v>37</v>
      </c>
      <c r="S67" s="29" t="s">
        <v>37</v>
      </c>
      <c r="T67" s="29" t="s">
        <v>37</v>
      </c>
      <c r="U67" s="29" t="s">
        <v>37</v>
      </c>
      <c r="V67" s="29" t="s">
        <v>50</v>
      </c>
      <c r="W67" s="65"/>
      <c r="X67" s="25"/>
      <c r="Y67" s="34" t="s">
        <v>58</v>
      </c>
      <c r="Z67" s="34" t="s">
        <v>51</v>
      </c>
      <c r="AA67" s="35" t="s">
        <v>52</v>
      </c>
      <c r="AB67" s="47">
        <v>9993184228</v>
      </c>
      <c r="AC67" s="47" t="s">
        <v>350</v>
      </c>
      <c r="AD67" s="57" t="s">
        <v>42</v>
      </c>
    </row>
    <row r="68" spans="1:30" ht="54.75" customHeight="1" x14ac:dyDescent="0.25">
      <c r="A68" s="25">
        <v>62</v>
      </c>
      <c r="B68" s="64" t="s">
        <v>345</v>
      </c>
      <c r="C68" s="26"/>
      <c r="D68" s="26"/>
      <c r="E68" s="27"/>
      <c r="F68" s="28" t="s">
        <v>351</v>
      </c>
      <c r="G68" s="29">
        <v>42</v>
      </c>
      <c r="H68" s="30" t="s">
        <v>83</v>
      </c>
      <c r="I68" s="29" t="s">
        <v>71</v>
      </c>
      <c r="J68" s="30" t="s">
        <v>352</v>
      </c>
      <c r="K68" s="29">
        <v>7</v>
      </c>
      <c r="L68" s="30" t="s">
        <v>85</v>
      </c>
      <c r="M68" s="31" t="s">
        <v>353</v>
      </c>
      <c r="N68" s="30" t="s">
        <v>49</v>
      </c>
      <c r="O68" s="32"/>
      <c r="P68" s="32"/>
      <c r="Q68" s="32" t="s">
        <v>217</v>
      </c>
      <c r="R68" s="29" t="s">
        <v>37</v>
      </c>
      <c r="S68" s="29" t="s">
        <v>37</v>
      </c>
      <c r="T68" s="29" t="s">
        <v>37</v>
      </c>
      <c r="U68" s="29" t="s">
        <v>37</v>
      </c>
      <c r="V68" s="29" t="s">
        <v>102</v>
      </c>
      <c r="W68" s="25"/>
      <c r="X68" s="25"/>
      <c r="Y68" s="34" t="s">
        <v>38</v>
      </c>
      <c r="Z68" s="34" t="s">
        <v>51</v>
      </c>
      <c r="AA68" s="35" t="s">
        <v>103</v>
      </c>
      <c r="AB68" s="47" t="s">
        <v>354</v>
      </c>
      <c r="AC68" s="47" t="s">
        <v>355</v>
      </c>
      <c r="AD68" s="57" t="s">
        <v>42</v>
      </c>
    </row>
    <row r="69" spans="1:30" ht="54.75" customHeight="1" x14ac:dyDescent="0.25">
      <c r="A69" s="25">
        <v>63</v>
      </c>
      <c r="B69" s="64" t="s">
        <v>345</v>
      </c>
      <c r="C69" s="26"/>
      <c r="D69" s="26"/>
      <c r="E69" s="27"/>
      <c r="F69" s="28" t="s">
        <v>356</v>
      </c>
      <c r="G69" s="29">
        <v>37</v>
      </c>
      <c r="H69" s="30" t="s">
        <v>32</v>
      </c>
      <c r="I69" s="29" t="s">
        <v>77</v>
      </c>
      <c r="J69" s="30" t="s">
        <v>357</v>
      </c>
      <c r="K69" s="29">
        <v>10</v>
      </c>
      <c r="L69" s="30" t="s">
        <v>95</v>
      </c>
      <c r="M69" s="31" t="s">
        <v>74</v>
      </c>
      <c r="N69" s="30" t="s">
        <v>49</v>
      </c>
      <c r="O69" s="32"/>
      <c r="P69" s="32"/>
      <c r="Q69" s="32" t="s">
        <v>217</v>
      </c>
      <c r="R69" s="29" t="s">
        <v>37</v>
      </c>
      <c r="S69" s="29" t="s">
        <v>37</v>
      </c>
      <c r="T69" s="29" t="s">
        <v>37</v>
      </c>
      <c r="U69" s="29" t="s">
        <v>37</v>
      </c>
      <c r="V69" s="29" t="s">
        <v>50</v>
      </c>
      <c r="W69" s="25"/>
      <c r="X69" s="25"/>
      <c r="Y69" s="34" t="s">
        <v>58</v>
      </c>
      <c r="Z69" s="34" t="s">
        <v>51</v>
      </c>
      <c r="AA69" s="35" t="s">
        <v>52</v>
      </c>
      <c r="AB69" s="47" t="s">
        <v>358</v>
      </c>
      <c r="AC69" s="47" t="s">
        <v>359</v>
      </c>
      <c r="AD69" s="57" t="s">
        <v>42</v>
      </c>
    </row>
    <row r="70" spans="1:30" ht="54.75" customHeight="1" x14ac:dyDescent="0.25">
      <c r="A70" s="25">
        <v>64</v>
      </c>
      <c r="B70" s="26" t="s">
        <v>345</v>
      </c>
      <c r="C70" s="26"/>
      <c r="D70" s="26"/>
      <c r="E70" s="27"/>
      <c r="F70" s="28" t="s">
        <v>360</v>
      </c>
      <c r="G70" s="29">
        <v>44</v>
      </c>
      <c r="H70" s="30" t="s">
        <v>83</v>
      </c>
      <c r="I70" s="29" t="s">
        <v>133</v>
      </c>
      <c r="J70" s="30" t="s">
        <v>361</v>
      </c>
      <c r="K70" s="29">
        <v>17</v>
      </c>
      <c r="L70" s="30" t="s">
        <v>65</v>
      </c>
      <c r="M70" s="31" t="s">
        <v>74</v>
      </c>
      <c r="N70" s="30" t="s">
        <v>49</v>
      </c>
      <c r="O70" s="32"/>
      <c r="P70" s="32"/>
      <c r="Q70" s="32" t="s">
        <v>217</v>
      </c>
      <c r="R70" s="29" t="s">
        <v>37</v>
      </c>
      <c r="S70" s="29" t="s">
        <v>37</v>
      </c>
      <c r="T70" s="29" t="s">
        <v>37</v>
      </c>
      <c r="U70" s="29" t="s">
        <v>37</v>
      </c>
      <c r="V70" s="29" t="s">
        <v>50</v>
      </c>
      <c r="W70" s="25"/>
      <c r="X70" s="25"/>
      <c r="Y70" s="34" t="s">
        <v>58</v>
      </c>
      <c r="Z70" s="34" t="s">
        <v>51</v>
      </c>
      <c r="AA70" s="35" t="s">
        <v>52</v>
      </c>
      <c r="AB70" s="47">
        <v>9275072301</v>
      </c>
      <c r="AC70" s="47" t="s">
        <v>362</v>
      </c>
      <c r="AD70" s="57" t="s">
        <v>42</v>
      </c>
    </row>
    <row r="71" spans="1:30" ht="54.75" customHeight="1" x14ac:dyDescent="0.25">
      <c r="A71" s="25">
        <v>65</v>
      </c>
      <c r="B71" s="26" t="s">
        <v>345</v>
      </c>
      <c r="C71" s="26"/>
      <c r="D71" s="26"/>
      <c r="E71" s="27"/>
      <c r="F71" s="28" t="s">
        <v>363</v>
      </c>
      <c r="G71" s="29">
        <v>35</v>
      </c>
      <c r="H71" s="30" t="s">
        <v>83</v>
      </c>
      <c r="I71" s="29" t="s">
        <v>77</v>
      </c>
      <c r="J71" s="30" t="s">
        <v>287</v>
      </c>
      <c r="K71" s="29">
        <v>13</v>
      </c>
      <c r="L71" s="30" t="s">
        <v>152</v>
      </c>
      <c r="M71" s="31" t="s">
        <v>74</v>
      </c>
      <c r="N71" s="30" t="s">
        <v>49</v>
      </c>
      <c r="O71" s="32"/>
      <c r="P71" s="32"/>
      <c r="Q71" s="32" t="s">
        <v>217</v>
      </c>
      <c r="R71" s="29" t="s">
        <v>37</v>
      </c>
      <c r="S71" s="29" t="s">
        <v>37</v>
      </c>
      <c r="T71" s="29" t="s">
        <v>37</v>
      </c>
      <c r="U71" s="29" t="s">
        <v>37</v>
      </c>
      <c r="V71" s="29" t="s">
        <v>50</v>
      </c>
      <c r="W71" s="25"/>
      <c r="X71" s="25"/>
      <c r="Y71" s="34" t="s">
        <v>38</v>
      </c>
      <c r="Z71" s="34" t="s">
        <v>51</v>
      </c>
      <c r="AA71" s="35" t="s">
        <v>52</v>
      </c>
      <c r="AB71" s="47" t="s">
        <v>364</v>
      </c>
      <c r="AC71" s="47" t="s">
        <v>365</v>
      </c>
      <c r="AD71" s="57" t="s">
        <v>42</v>
      </c>
    </row>
    <row r="72" spans="1:30" ht="54.75" customHeight="1" x14ac:dyDescent="0.25">
      <c r="A72" s="25">
        <v>66</v>
      </c>
      <c r="B72" s="26" t="s">
        <v>345</v>
      </c>
      <c r="C72" s="26"/>
      <c r="D72" s="26"/>
      <c r="E72" s="27"/>
      <c r="F72" s="28" t="s">
        <v>366</v>
      </c>
      <c r="G72" s="29">
        <v>50</v>
      </c>
      <c r="H72" s="30" t="s">
        <v>32</v>
      </c>
      <c r="I72" s="29" t="s">
        <v>88</v>
      </c>
      <c r="J72" s="30" t="s">
        <v>163</v>
      </c>
      <c r="K72" s="29">
        <v>14</v>
      </c>
      <c r="L72" s="30" t="s">
        <v>65</v>
      </c>
      <c r="M72" s="31" t="s">
        <v>367</v>
      </c>
      <c r="N72" s="30" t="s">
        <v>49</v>
      </c>
      <c r="O72" s="32"/>
      <c r="P72" s="32"/>
      <c r="Q72" s="32" t="s">
        <v>217</v>
      </c>
      <c r="R72" s="29" t="s">
        <v>37</v>
      </c>
      <c r="S72" s="29" t="s">
        <v>37</v>
      </c>
      <c r="T72" s="29" t="s">
        <v>37</v>
      </c>
      <c r="U72" s="29" t="s">
        <v>37</v>
      </c>
      <c r="V72" s="29" t="s">
        <v>102</v>
      </c>
      <c r="W72" s="25"/>
      <c r="X72" s="25"/>
      <c r="Y72" s="34" t="s">
        <v>38</v>
      </c>
      <c r="Z72" s="34" t="s">
        <v>39</v>
      </c>
      <c r="AA72" s="35" t="s">
        <v>103</v>
      </c>
      <c r="AB72" s="47" t="s">
        <v>368</v>
      </c>
      <c r="AC72" s="47" t="s">
        <v>369</v>
      </c>
      <c r="AD72" s="57" t="s">
        <v>42</v>
      </c>
    </row>
    <row r="73" spans="1:30" ht="54.75" customHeight="1" x14ac:dyDescent="0.25">
      <c r="A73" s="25">
        <v>67</v>
      </c>
      <c r="B73" s="26" t="s">
        <v>345</v>
      </c>
      <c r="C73" s="26"/>
      <c r="D73" s="26"/>
      <c r="E73" s="27"/>
      <c r="F73" s="28" t="s">
        <v>370</v>
      </c>
      <c r="G73" s="29">
        <v>32</v>
      </c>
      <c r="H73" s="30" t="s">
        <v>371</v>
      </c>
      <c r="I73" s="29" t="s">
        <v>45</v>
      </c>
      <c r="J73" s="30" t="s">
        <v>372</v>
      </c>
      <c r="K73" s="29">
        <v>8</v>
      </c>
      <c r="L73" s="30" t="s">
        <v>373</v>
      </c>
      <c r="M73" s="31" t="s">
        <v>374</v>
      </c>
      <c r="N73" s="30" t="s">
        <v>49</v>
      </c>
      <c r="O73" s="32"/>
      <c r="P73" s="32"/>
      <c r="Q73" s="32" t="s">
        <v>217</v>
      </c>
      <c r="R73" s="29" t="s">
        <v>37</v>
      </c>
      <c r="S73" s="29" t="s">
        <v>37</v>
      </c>
      <c r="T73" s="29" t="s">
        <v>37</v>
      </c>
      <c r="U73" s="29" t="s">
        <v>37</v>
      </c>
      <c r="V73" s="29" t="s">
        <v>50</v>
      </c>
      <c r="W73" s="25"/>
      <c r="X73" s="25"/>
      <c r="Y73" s="34" t="s">
        <v>58</v>
      </c>
      <c r="Z73" s="34" t="s">
        <v>51</v>
      </c>
      <c r="AA73" s="35" t="s">
        <v>52</v>
      </c>
      <c r="AB73" s="47">
        <v>9686345431</v>
      </c>
      <c r="AC73" s="47" t="s">
        <v>375</v>
      </c>
      <c r="AD73" s="57" t="s">
        <v>42</v>
      </c>
    </row>
    <row r="74" spans="1:30" ht="54.75" customHeight="1" x14ac:dyDescent="0.25">
      <c r="A74" s="25">
        <v>68</v>
      </c>
      <c r="B74" s="26" t="s">
        <v>376</v>
      </c>
      <c r="C74" s="26"/>
      <c r="D74" s="26"/>
      <c r="E74" s="27"/>
      <c r="F74" s="28" t="s">
        <v>377</v>
      </c>
      <c r="G74" s="29">
        <v>28</v>
      </c>
      <c r="H74" s="30" t="s">
        <v>83</v>
      </c>
      <c r="I74" s="29" t="s">
        <v>118</v>
      </c>
      <c r="J74" s="30" t="s">
        <v>302</v>
      </c>
      <c r="K74" s="29">
        <v>6</v>
      </c>
      <c r="L74" s="30" t="s">
        <v>85</v>
      </c>
      <c r="M74" s="31" t="s">
        <v>74</v>
      </c>
      <c r="N74" s="30" t="s">
        <v>49</v>
      </c>
      <c r="O74" s="32"/>
      <c r="P74" s="32"/>
      <c r="Q74" s="32" t="s">
        <v>217</v>
      </c>
      <c r="R74" s="29" t="s">
        <v>37</v>
      </c>
      <c r="S74" s="29" t="s">
        <v>37</v>
      </c>
      <c r="T74" s="29" t="s">
        <v>37</v>
      </c>
      <c r="U74" s="29" t="s">
        <v>37</v>
      </c>
      <c r="V74" s="29" t="s">
        <v>50</v>
      </c>
      <c r="W74" s="25"/>
      <c r="X74" s="25"/>
      <c r="Y74" s="34" t="s">
        <v>38</v>
      </c>
      <c r="Z74" s="34" t="s">
        <v>39</v>
      </c>
      <c r="AA74" s="35" t="s">
        <v>52</v>
      </c>
      <c r="AB74" s="47" t="s">
        <v>378</v>
      </c>
      <c r="AC74" s="47" t="s">
        <v>379</v>
      </c>
      <c r="AD74" s="57" t="s">
        <v>42</v>
      </c>
    </row>
    <row r="75" spans="1:30" ht="54.75" customHeight="1" x14ac:dyDescent="0.25">
      <c r="A75" s="25">
        <v>69</v>
      </c>
      <c r="B75" s="26" t="s">
        <v>376</v>
      </c>
      <c r="C75" s="26"/>
      <c r="D75" s="26"/>
      <c r="E75" s="27"/>
      <c r="F75" s="28" t="s">
        <v>380</v>
      </c>
      <c r="G75" s="29">
        <v>55</v>
      </c>
      <c r="H75" s="30" t="s">
        <v>32</v>
      </c>
      <c r="I75" s="29" t="s">
        <v>273</v>
      </c>
      <c r="J75" s="30" t="s">
        <v>381</v>
      </c>
      <c r="K75" s="29">
        <v>20</v>
      </c>
      <c r="L75" s="30" t="s">
        <v>382</v>
      </c>
      <c r="M75" s="31" t="s">
        <v>74</v>
      </c>
      <c r="N75" s="30" t="s">
        <v>49</v>
      </c>
      <c r="O75" s="32"/>
      <c r="P75" s="32"/>
      <c r="Q75" s="32" t="s">
        <v>217</v>
      </c>
      <c r="R75" s="29" t="s">
        <v>37</v>
      </c>
      <c r="S75" s="29" t="s">
        <v>37</v>
      </c>
      <c r="T75" s="29" t="s">
        <v>37</v>
      </c>
      <c r="U75" s="29" t="s">
        <v>37</v>
      </c>
      <c r="V75" s="29" t="s">
        <v>50</v>
      </c>
      <c r="W75" s="25"/>
      <c r="X75" s="25"/>
      <c r="Y75" s="34" t="s">
        <v>38</v>
      </c>
      <c r="Z75" s="34" t="s">
        <v>39</v>
      </c>
      <c r="AA75" s="35" t="s">
        <v>52</v>
      </c>
      <c r="AB75" s="47">
        <v>9955649706</v>
      </c>
      <c r="AC75" s="47" t="s">
        <v>383</v>
      </c>
      <c r="AD75" s="57" t="s">
        <v>42</v>
      </c>
    </row>
    <row r="76" spans="1:30" ht="54.75" customHeight="1" x14ac:dyDescent="0.25">
      <c r="A76" s="25">
        <v>70</v>
      </c>
      <c r="B76" s="26" t="s">
        <v>376</v>
      </c>
      <c r="C76" s="26"/>
      <c r="D76" s="26"/>
      <c r="E76" s="27"/>
      <c r="F76" s="28" t="s">
        <v>384</v>
      </c>
      <c r="G76" s="29">
        <v>29</v>
      </c>
      <c r="H76" s="30" t="s">
        <v>83</v>
      </c>
      <c r="I76" s="29" t="s">
        <v>118</v>
      </c>
      <c r="J76" s="30" t="s">
        <v>385</v>
      </c>
      <c r="K76" s="29">
        <v>6</v>
      </c>
      <c r="L76" s="30" t="s">
        <v>386</v>
      </c>
      <c r="M76" s="31" t="s">
        <v>102</v>
      </c>
      <c r="N76" s="30" t="s">
        <v>49</v>
      </c>
      <c r="O76" s="32"/>
      <c r="P76" s="32"/>
      <c r="Q76" s="32" t="s">
        <v>217</v>
      </c>
      <c r="R76" s="29" t="s">
        <v>37</v>
      </c>
      <c r="S76" s="29" t="s">
        <v>37</v>
      </c>
      <c r="T76" s="29" t="s">
        <v>37</v>
      </c>
      <c r="U76" s="29" t="s">
        <v>37</v>
      </c>
      <c r="V76" s="29" t="s">
        <v>102</v>
      </c>
      <c r="W76" s="25"/>
      <c r="X76" s="25"/>
      <c r="Y76" s="34" t="s">
        <v>58</v>
      </c>
      <c r="Z76" s="34" t="s">
        <v>51</v>
      </c>
      <c r="AA76" s="35" t="s">
        <v>387</v>
      </c>
      <c r="AB76" s="47">
        <v>9667117647</v>
      </c>
      <c r="AC76" s="47" t="s">
        <v>388</v>
      </c>
      <c r="AD76" s="57" t="s">
        <v>42</v>
      </c>
    </row>
    <row r="77" spans="1:30" ht="54.75" customHeight="1" x14ac:dyDescent="0.25">
      <c r="A77" s="25">
        <v>71</v>
      </c>
      <c r="B77" s="26" t="s">
        <v>376</v>
      </c>
      <c r="C77" s="26"/>
      <c r="D77" s="26"/>
      <c r="E77" s="27"/>
      <c r="F77" s="28" t="s">
        <v>389</v>
      </c>
      <c r="G77" s="29">
        <v>42</v>
      </c>
      <c r="H77" s="30" t="s">
        <v>390</v>
      </c>
      <c r="I77" s="29" t="s">
        <v>33</v>
      </c>
      <c r="J77" s="30" t="s">
        <v>391</v>
      </c>
      <c r="K77" s="29">
        <v>17</v>
      </c>
      <c r="L77" s="30" t="s">
        <v>392</v>
      </c>
      <c r="M77" s="31" t="s">
        <v>74</v>
      </c>
      <c r="N77" s="30" t="s">
        <v>49</v>
      </c>
      <c r="O77" s="32"/>
      <c r="P77" s="32"/>
      <c r="Q77" s="32" t="s">
        <v>217</v>
      </c>
      <c r="R77" s="29" t="s">
        <v>37</v>
      </c>
      <c r="S77" s="29" t="s">
        <v>37</v>
      </c>
      <c r="T77" s="29" t="s">
        <v>37</v>
      </c>
      <c r="U77" s="29" t="s">
        <v>37</v>
      </c>
      <c r="V77" s="29" t="s">
        <v>50</v>
      </c>
      <c r="W77" s="25"/>
      <c r="X77" s="25"/>
      <c r="Y77" s="34" t="s">
        <v>58</v>
      </c>
      <c r="Z77" s="34" t="s">
        <v>51</v>
      </c>
      <c r="AA77" s="35" t="s">
        <v>52</v>
      </c>
      <c r="AB77" s="47" t="s">
        <v>393</v>
      </c>
      <c r="AC77" s="47" t="s">
        <v>394</v>
      </c>
      <c r="AD77" s="57" t="s">
        <v>231</v>
      </c>
    </row>
    <row r="78" spans="1:30" ht="54.75" customHeight="1" x14ac:dyDescent="0.25">
      <c r="A78" s="25">
        <v>72</v>
      </c>
      <c r="B78" s="26" t="s">
        <v>376</v>
      </c>
      <c r="C78" s="26"/>
      <c r="D78" s="26"/>
      <c r="E78" s="27"/>
      <c r="F78" s="28" t="s">
        <v>395</v>
      </c>
      <c r="G78" s="29">
        <v>33</v>
      </c>
      <c r="H78" s="30" t="s">
        <v>83</v>
      </c>
      <c r="I78" s="29" t="s">
        <v>71</v>
      </c>
      <c r="J78" s="30" t="s">
        <v>396</v>
      </c>
      <c r="K78" s="29">
        <v>8</v>
      </c>
      <c r="L78" s="30" t="s">
        <v>134</v>
      </c>
      <c r="M78" s="31" t="s">
        <v>74</v>
      </c>
      <c r="N78" s="30" t="s">
        <v>49</v>
      </c>
      <c r="O78" s="32"/>
      <c r="P78" s="32"/>
      <c r="Q78" s="32" t="s">
        <v>217</v>
      </c>
      <c r="R78" s="29" t="s">
        <v>37</v>
      </c>
      <c r="S78" s="29" t="s">
        <v>37</v>
      </c>
      <c r="T78" s="29" t="s">
        <v>37</v>
      </c>
      <c r="U78" s="29" t="s">
        <v>37</v>
      </c>
      <c r="V78" s="29" t="s">
        <v>50</v>
      </c>
      <c r="W78" s="25"/>
      <c r="X78" s="25"/>
      <c r="Y78" s="34" t="s">
        <v>38</v>
      </c>
      <c r="Z78" s="34" t="s">
        <v>51</v>
      </c>
      <c r="AA78" s="35" t="s">
        <v>52</v>
      </c>
      <c r="AB78" s="47">
        <v>9157583330</v>
      </c>
      <c r="AC78" s="47" t="s">
        <v>397</v>
      </c>
      <c r="AD78" s="57" t="s">
        <v>42</v>
      </c>
    </row>
    <row r="79" spans="1:30" ht="54.75" customHeight="1" x14ac:dyDescent="0.25">
      <c r="A79" s="25">
        <v>73</v>
      </c>
      <c r="B79" s="26" t="s">
        <v>376</v>
      </c>
      <c r="C79" s="26"/>
      <c r="D79" s="26"/>
      <c r="E79" s="27"/>
      <c r="F79" s="28" t="s">
        <v>398</v>
      </c>
      <c r="G79" s="29">
        <v>33</v>
      </c>
      <c r="H79" s="30" t="s">
        <v>32</v>
      </c>
      <c r="I79" s="29" t="s">
        <v>71</v>
      </c>
      <c r="J79" s="30" t="s">
        <v>399</v>
      </c>
      <c r="K79" s="29">
        <v>11</v>
      </c>
      <c r="L79" s="30" t="s">
        <v>400</v>
      </c>
      <c r="M79" s="31" t="s">
        <v>74</v>
      </c>
      <c r="N79" s="30" t="s">
        <v>49</v>
      </c>
      <c r="O79" s="32"/>
      <c r="P79" s="32"/>
      <c r="Q79" s="32" t="s">
        <v>217</v>
      </c>
      <c r="R79" s="29" t="s">
        <v>37</v>
      </c>
      <c r="S79" s="29" t="s">
        <v>37</v>
      </c>
      <c r="T79" s="29" t="s">
        <v>37</v>
      </c>
      <c r="U79" s="29" t="s">
        <v>37</v>
      </c>
      <c r="V79" s="29" t="s">
        <v>50</v>
      </c>
      <c r="W79" s="25"/>
      <c r="X79" s="25"/>
      <c r="Y79" s="34" t="s">
        <v>38</v>
      </c>
      <c r="Z79" s="34" t="s">
        <v>51</v>
      </c>
      <c r="AA79" s="35" t="s">
        <v>52</v>
      </c>
      <c r="AB79" s="47" t="s">
        <v>401</v>
      </c>
      <c r="AC79" s="47" t="s">
        <v>402</v>
      </c>
      <c r="AD79" s="57" t="s">
        <v>42</v>
      </c>
    </row>
    <row r="80" spans="1:30" ht="54.75" customHeight="1" x14ac:dyDescent="0.25">
      <c r="A80" s="25">
        <v>74</v>
      </c>
      <c r="B80" s="26" t="s">
        <v>376</v>
      </c>
      <c r="C80" s="26"/>
      <c r="D80" s="26"/>
      <c r="E80" s="27"/>
      <c r="F80" s="28" t="s">
        <v>403</v>
      </c>
      <c r="G80" s="29">
        <v>45</v>
      </c>
      <c r="H80" s="30" t="s">
        <v>336</v>
      </c>
      <c r="I80" s="29" t="s">
        <v>273</v>
      </c>
      <c r="J80" s="30" t="s">
        <v>122</v>
      </c>
      <c r="K80" s="29">
        <v>17</v>
      </c>
      <c r="L80" s="30" t="s">
        <v>85</v>
      </c>
      <c r="M80" s="31" t="s">
        <v>74</v>
      </c>
      <c r="N80" s="30" t="s">
        <v>49</v>
      </c>
      <c r="O80" s="32"/>
      <c r="P80" s="32"/>
      <c r="Q80" s="32" t="s">
        <v>217</v>
      </c>
      <c r="R80" s="29" t="s">
        <v>37</v>
      </c>
      <c r="S80" s="29" t="s">
        <v>37</v>
      </c>
      <c r="T80" s="29" t="s">
        <v>37</v>
      </c>
      <c r="U80" s="29" t="s">
        <v>37</v>
      </c>
      <c r="V80" s="29" t="s">
        <v>50</v>
      </c>
      <c r="W80" s="25"/>
      <c r="X80" s="25"/>
      <c r="Y80" s="34" t="s">
        <v>58</v>
      </c>
      <c r="Z80" s="34" t="s">
        <v>51</v>
      </c>
      <c r="AA80" s="35" t="s">
        <v>52</v>
      </c>
      <c r="AB80" s="47">
        <v>9208208312</v>
      </c>
      <c r="AC80" s="47" t="s">
        <v>404</v>
      </c>
      <c r="AD80" s="57" t="s">
        <v>42</v>
      </c>
    </row>
    <row r="81" spans="1:30" ht="54.75" customHeight="1" x14ac:dyDescent="0.25">
      <c r="A81" s="25">
        <v>75</v>
      </c>
      <c r="B81" s="26" t="s">
        <v>376</v>
      </c>
      <c r="C81" s="26"/>
      <c r="D81" s="26"/>
      <c r="E81" s="27"/>
      <c r="F81" s="28" t="s">
        <v>405</v>
      </c>
      <c r="G81" s="29">
        <v>43</v>
      </c>
      <c r="H81" s="30" t="s">
        <v>282</v>
      </c>
      <c r="I81" s="29" t="s">
        <v>127</v>
      </c>
      <c r="J81" s="30" t="s">
        <v>406</v>
      </c>
      <c r="K81" s="29">
        <v>18</v>
      </c>
      <c r="L81" s="30" t="s">
        <v>85</v>
      </c>
      <c r="M81" s="31" t="s">
        <v>102</v>
      </c>
      <c r="N81" s="30" t="s">
        <v>49</v>
      </c>
      <c r="O81" s="32"/>
      <c r="P81" s="32"/>
      <c r="Q81" s="32" t="s">
        <v>217</v>
      </c>
      <c r="R81" s="29" t="s">
        <v>37</v>
      </c>
      <c r="S81" s="29" t="s">
        <v>37</v>
      </c>
      <c r="T81" s="29" t="s">
        <v>37</v>
      </c>
      <c r="U81" s="29" t="s">
        <v>37</v>
      </c>
      <c r="V81" s="29" t="s">
        <v>102</v>
      </c>
      <c r="W81" s="25"/>
      <c r="X81" s="25"/>
      <c r="Y81" s="34" t="s">
        <v>58</v>
      </c>
      <c r="Z81" s="34" t="s">
        <v>51</v>
      </c>
      <c r="AA81" s="35" t="s">
        <v>103</v>
      </c>
      <c r="AB81" s="47" t="s">
        <v>407</v>
      </c>
      <c r="AC81" s="47" t="s">
        <v>408</v>
      </c>
      <c r="AD81" s="57" t="s">
        <v>42</v>
      </c>
    </row>
    <row r="82" spans="1:30" ht="54.75" customHeight="1" x14ac:dyDescent="0.25">
      <c r="A82" s="25">
        <v>76</v>
      </c>
      <c r="B82" s="26" t="s">
        <v>376</v>
      </c>
      <c r="C82" s="66"/>
      <c r="D82" s="66"/>
      <c r="E82" s="67"/>
      <c r="F82" s="28" t="s">
        <v>409</v>
      </c>
      <c r="G82" s="29">
        <v>29</v>
      </c>
      <c r="H82" s="30" t="s">
        <v>99</v>
      </c>
      <c r="I82" s="29" t="s">
        <v>71</v>
      </c>
      <c r="J82" s="30" t="s">
        <v>410</v>
      </c>
      <c r="K82" s="29">
        <v>7</v>
      </c>
      <c r="L82" s="30" t="s">
        <v>108</v>
      </c>
      <c r="M82" s="31" t="s">
        <v>411</v>
      </c>
      <c r="N82" s="30" t="s">
        <v>49</v>
      </c>
      <c r="O82" s="32"/>
      <c r="P82" s="32"/>
      <c r="Q82" s="32" t="s">
        <v>217</v>
      </c>
      <c r="R82" s="29" t="s">
        <v>37</v>
      </c>
      <c r="S82" s="29" t="s">
        <v>37</v>
      </c>
      <c r="T82" s="29" t="s">
        <v>37</v>
      </c>
      <c r="U82" s="29" t="s">
        <v>37</v>
      </c>
      <c r="V82" s="29" t="s">
        <v>50</v>
      </c>
      <c r="W82" s="25"/>
      <c r="X82" s="25"/>
      <c r="Y82" s="34" t="s">
        <v>38</v>
      </c>
      <c r="Z82" s="34" t="s">
        <v>51</v>
      </c>
      <c r="AA82" s="35" t="s">
        <v>52</v>
      </c>
      <c r="AB82" s="47">
        <v>9606172002</v>
      </c>
      <c r="AC82" s="47" t="s">
        <v>412</v>
      </c>
      <c r="AD82" s="57" t="s">
        <v>42</v>
      </c>
    </row>
    <row r="83" spans="1:30" ht="60" customHeight="1" x14ac:dyDescent="0.25">
      <c r="A83" s="25">
        <v>77</v>
      </c>
      <c r="B83" s="26" t="s">
        <v>413</v>
      </c>
      <c r="C83" s="26"/>
      <c r="D83" s="26"/>
      <c r="E83" s="27"/>
      <c r="F83" s="68" t="s">
        <v>414</v>
      </c>
      <c r="G83" s="29">
        <v>30</v>
      </c>
      <c r="H83" s="30" t="s">
        <v>371</v>
      </c>
      <c r="I83" s="29" t="s">
        <v>118</v>
      </c>
      <c r="J83" s="30" t="s">
        <v>267</v>
      </c>
      <c r="K83" s="29">
        <v>6</v>
      </c>
      <c r="L83" s="30" t="s">
        <v>373</v>
      </c>
      <c r="M83" s="31" t="s">
        <v>415</v>
      </c>
      <c r="N83" s="30" t="s">
        <v>49</v>
      </c>
      <c r="O83" s="32"/>
      <c r="P83" s="32"/>
      <c r="Q83" s="32" t="s">
        <v>217</v>
      </c>
      <c r="R83" s="29" t="s">
        <v>37</v>
      </c>
      <c r="S83" s="29" t="s">
        <v>37</v>
      </c>
      <c r="T83" s="29" t="s">
        <v>37</v>
      </c>
      <c r="U83" s="29" t="s">
        <v>37</v>
      </c>
      <c r="V83" s="29" t="s">
        <v>50</v>
      </c>
      <c r="W83" s="25"/>
      <c r="X83" s="25"/>
      <c r="Y83" s="34" t="s">
        <v>58</v>
      </c>
      <c r="Z83" s="34" t="s">
        <v>51</v>
      </c>
      <c r="AA83" s="35" t="s">
        <v>52</v>
      </c>
      <c r="AB83" s="47" t="s">
        <v>416</v>
      </c>
      <c r="AC83" s="47" t="s">
        <v>417</v>
      </c>
      <c r="AD83" s="57" t="s">
        <v>42</v>
      </c>
    </row>
    <row r="84" spans="1:30" ht="60" customHeight="1" x14ac:dyDescent="0.25">
      <c r="A84" s="25">
        <v>78</v>
      </c>
      <c r="B84" s="26" t="s">
        <v>413</v>
      </c>
      <c r="C84" s="26"/>
      <c r="D84" s="26"/>
      <c r="E84" s="27"/>
      <c r="F84" s="28" t="s">
        <v>162</v>
      </c>
      <c r="G84" s="29">
        <v>26</v>
      </c>
      <c r="H84" s="30" t="s">
        <v>44</v>
      </c>
      <c r="I84" s="29" t="s">
        <v>151</v>
      </c>
      <c r="J84" s="30" t="s">
        <v>163</v>
      </c>
      <c r="K84" s="29">
        <v>1</v>
      </c>
      <c r="L84" s="30" t="s">
        <v>47</v>
      </c>
      <c r="M84" s="31" t="s">
        <v>102</v>
      </c>
      <c r="N84" s="30" t="s">
        <v>49</v>
      </c>
      <c r="O84" s="32"/>
      <c r="P84" s="32"/>
      <c r="Q84" s="32" t="s">
        <v>217</v>
      </c>
      <c r="R84" s="29" t="s">
        <v>37</v>
      </c>
      <c r="S84" s="29" t="s">
        <v>37</v>
      </c>
      <c r="T84" s="29" t="s">
        <v>37</v>
      </c>
      <c r="U84" s="29" t="s">
        <v>37</v>
      </c>
      <c r="V84" s="29" t="s">
        <v>102</v>
      </c>
      <c r="W84" s="25"/>
      <c r="X84" s="25"/>
      <c r="Y84" s="34" t="s">
        <v>38</v>
      </c>
      <c r="Z84" s="34" t="s">
        <v>39</v>
      </c>
      <c r="AA84" s="35" t="s">
        <v>103</v>
      </c>
      <c r="AB84" s="47">
        <v>9602652677</v>
      </c>
      <c r="AC84" s="47" t="s">
        <v>164</v>
      </c>
      <c r="AD84" s="57" t="s">
        <v>42</v>
      </c>
    </row>
    <row r="85" spans="1:30" ht="60" customHeight="1" x14ac:dyDescent="0.25">
      <c r="A85" s="25">
        <v>79</v>
      </c>
      <c r="B85" s="26" t="s">
        <v>413</v>
      </c>
      <c r="C85" s="26"/>
      <c r="D85" s="26"/>
      <c r="E85" s="27"/>
      <c r="F85" s="28" t="s">
        <v>418</v>
      </c>
      <c r="G85" s="29">
        <v>31</v>
      </c>
      <c r="H85" s="30" t="s">
        <v>83</v>
      </c>
      <c r="I85" s="29" t="s">
        <v>55</v>
      </c>
      <c r="J85" s="30" t="s">
        <v>419</v>
      </c>
      <c r="K85" s="29">
        <v>4</v>
      </c>
      <c r="L85" s="30" t="s">
        <v>420</v>
      </c>
      <c r="M85" s="62" t="s">
        <v>173</v>
      </c>
      <c r="N85" s="61" t="s">
        <v>49</v>
      </c>
      <c r="O85" s="63"/>
      <c r="P85" s="63"/>
      <c r="Q85" s="63" t="s">
        <v>217</v>
      </c>
      <c r="R85" s="60" t="s">
        <v>37</v>
      </c>
      <c r="S85" s="60" t="s">
        <v>37</v>
      </c>
      <c r="T85" s="60" t="s">
        <v>37</v>
      </c>
      <c r="U85" s="60" t="s">
        <v>37</v>
      </c>
      <c r="V85" s="60" t="s">
        <v>173</v>
      </c>
      <c r="W85" s="25"/>
      <c r="X85" s="25"/>
      <c r="Y85" s="34" t="s">
        <v>58</v>
      </c>
      <c r="Z85" s="34" t="s">
        <v>51</v>
      </c>
      <c r="AA85" s="35" t="s">
        <v>52</v>
      </c>
      <c r="AB85" s="47" t="s">
        <v>421</v>
      </c>
      <c r="AC85" s="47" t="s">
        <v>422</v>
      </c>
      <c r="AD85" s="57" t="s">
        <v>42</v>
      </c>
    </row>
    <row r="86" spans="1:30" ht="60" customHeight="1" x14ac:dyDescent="0.25">
      <c r="A86" s="25">
        <v>80</v>
      </c>
      <c r="B86" s="26" t="s">
        <v>413</v>
      </c>
      <c r="C86" s="40"/>
      <c r="D86" s="26"/>
      <c r="E86" s="41"/>
      <c r="F86" s="42" t="s">
        <v>423</v>
      </c>
      <c r="G86" s="43">
        <v>35</v>
      </c>
      <c r="H86" s="44" t="s">
        <v>207</v>
      </c>
      <c r="I86" s="43" t="s">
        <v>424</v>
      </c>
      <c r="J86" s="44" t="s">
        <v>425</v>
      </c>
      <c r="K86" s="43">
        <v>4</v>
      </c>
      <c r="L86" s="44" t="s">
        <v>426</v>
      </c>
      <c r="M86" s="31" t="s">
        <v>427</v>
      </c>
      <c r="N86" s="30" t="s">
        <v>49</v>
      </c>
      <c r="O86" s="32"/>
      <c r="P86" s="32"/>
      <c r="Q86" s="32" t="s">
        <v>217</v>
      </c>
      <c r="R86" s="29" t="s">
        <v>37</v>
      </c>
      <c r="S86" s="29" t="s">
        <v>37</v>
      </c>
      <c r="T86" s="29" t="s">
        <v>37</v>
      </c>
      <c r="U86" s="29" t="s">
        <v>37</v>
      </c>
      <c r="V86" s="29" t="s">
        <v>50</v>
      </c>
      <c r="W86" s="25"/>
      <c r="X86" s="25"/>
      <c r="Y86" s="34" t="s">
        <v>38</v>
      </c>
      <c r="Z86" s="34" t="s">
        <v>51</v>
      </c>
      <c r="AA86" s="35" t="s">
        <v>52</v>
      </c>
      <c r="AB86" s="47" t="s">
        <v>428</v>
      </c>
      <c r="AC86" s="47" t="s">
        <v>429</v>
      </c>
      <c r="AD86" s="57" t="s">
        <v>42</v>
      </c>
    </row>
    <row r="87" spans="1:30" ht="60" customHeight="1" x14ac:dyDescent="0.25">
      <c r="A87" s="25">
        <v>81</v>
      </c>
      <c r="B87" s="26" t="s">
        <v>413</v>
      </c>
      <c r="C87" s="26"/>
      <c r="D87" s="26"/>
      <c r="E87" s="27"/>
      <c r="F87" s="28" t="s">
        <v>430</v>
      </c>
      <c r="G87" s="29">
        <v>41</v>
      </c>
      <c r="H87" s="30" t="s">
        <v>390</v>
      </c>
      <c r="I87" s="29" t="s">
        <v>33</v>
      </c>
      <c r="J87" s="30" t="s">
        <v>195</v>
      </c>
      <c r="K87" s="29">
        <v>20</v>
      </c>
      <c r="L87" s="30" t="s">
        <v>431</v>
      </c>
      <c r="M87" s="31" t="s">
        <v>74</v>
      </c>
      <c r="N87" s="30" t="s">
        <v>49</v>
      </c>
      <c r="O87" s="32"/>
      <c r="P87" s="32"/>
      <c r="Q87" s="32" t="s">
        <v>217</v>
      </c>
      <c r="R87" s="29" t="s">
        <v>37</v>
      </c>
      <c r="S87" s="29" t="s">
        <v>37</v>
      </c>
      <c r="T87" s="29" t="s">
        <v>37</v>
      </c>
      <c r="U87" s="29" t="s">
        <v>37</v>
      </c>
      <c r="V87" s="29" t="s">
        <v>50</v>
      </c>
      <c r="W87" s="25"/>
      <c r="X87" s="25"/>
      <c r="Y87" s="34" t="s">
        <v>58</v>
      </c>
      <c r="Z87" s="34" t="s">
        <v>51</v>
      </c>
      <c r="AA87" s="35" t="s">
        <v>52</v>
      </c>
      <c r="AB87" s="47">
        <v>9215153488</v>
      </c>
      <c r="AC87" s="47" t="s">
        <v>432</v>
      </c>
      <c r="AD87" s="57" t="s">
        <v>42</v>
      </c>
    </row>
    <row r="88" spans="1:30" ht="60" customHeight="1" x14ac:dyDescent="0.25">
      <c r="A88" s="25">
        <v>82</v>
      </c>
      <c r="B88" s="26" t="s">
        <v>413</v>
      </c>
      <c r="C88" s="26"/>
      <c r="D88" s="26"/>
      <c r="E88" s="27"/>
      <c r="F88" s="28" t="s">
        <v>433</v>
      </c>
      <c r="G88" s="29">
        <v>44</v>
      </c>
      <c r="H88" s="30" t="s">
        <v>83</v>
      </c>
      <c r="I88" s="29" t="s">
        <v>71</v>
      </c>
      <c r="J88" s="30" t="s">
        <v>425</v>
      </c>
      <c r="K88" s="29">
        <v>18</v>
      </c>
      <c r="L88" s="30" t="s">
        <v>160</v>
      </c>
      <c r="M88" s="31" t="s">
        <v>74</v>
      </c>
      <c r="N88" s="30" t="s">
        <v>49</v>
      </c>
      <c r="O88" s="32"/>
      <c r="P88" s="32"/>
      <c r="Q88" s="32" t="s">
        <v>217</v>
      </c>
      <c r="R88" s="29" t="s">
        <v>37</v>
      </c>
      <c r="S88" s="29" t="s">
        <v>37</v>
      </c>
      <c r="T88" s="29" t="s">
        <v>37</v>
      </c>
      <c r="U88" s="29" t="s">
        <v>37</v>
      </c>
      <c r="V88" s="29" t="s">
        <v>50</v>
      </c>
      <c r="W88" s="25"/>
      <c r="X88" s="25"/>
      <c r="Y88" s="34" t="s">
        <v>38</v>
      </c>
      <c r="Z88" s="34" t="s">
        <v>51</v>
      </c>
      <c r="AA88" s="35" t="s">
        <v>52</v>
      </c>
      <c r="AB88" s="47" t="s">
        <v>434</v>
      </c>
      <c r="AC88" s="47" t="s">
        <v>435</v>
      </c>
      <c r="AD88" s="57" t="s">
        <v>42</v>
      </c>
    </row>
    <row r="89" spans="1:30" ht="60" customHeight="1" x14ac:dyDescent="0.25">
      <c r="A89" s="25">
        <v>83</v>
      </c>
      <c r="B89" s="26" t="s">
        <v>413</v>
      </c>
      <c r="C89" s="26"/>
      <c r="D89" s="26"/>
      <c r="E89" s="27"/>
      <c r="F89" s="28" t="s">
        <v>436</v>
      </c>
      <c r="G89" s="29">
        <v>31</v>
      </c>
      <c r="H89" s="30" t="s">
        <v>99</v>
      </c>
      <c r="I89" s="29" t="s">
        <v>71</v>
      </c>
      <c r="J89" s="30" t="s">
        <v>261</v>
      </c>
      <c r="K89" s="29">
        <v>11</v>
      </c>
      <c r="L89" s="30" t="s">
        <v>160</v>
      </c>
      <c r="M89" s="31" t="s">
        <v>74</v>
      </c>
      <c r="N89" s="30" t="s">
        <v>49</v>
      </c>
      <c r="O89" s="32"/>
      <c r="P89" s="32"/>
      <c r="Q89" s="32" t="s">
        <v>217</v>
      </c>
      <c r="R89" s="29" t="s">
        <v>37</v>
      </c>
      <c r="S89" s="29" t="s">
        <v>37</v>
      </c>
      <c r="T89" s="29" t="s">
        <v>37</v>
      </c>
      <c r="U89" s="29" t="s">
        <v>37</v>
      </c>
      <c r="V89" s="29" t="s">
        <v>50</v>
      </c>
      <c r="W89" s="25"/>
      <c r="X89" s="25"/>
      <c r="Y89" s="34" t="s">
        <v>38</v>
      </c>
      <c r="Z89" s="34" t="s">
        <v>51</v>
      </c>
      <c r="AA89" s="35" t="s">
        <v>52</v>
      </c>
      <c r="AB89" s="47" t="s">
        <v>437</v>
      </c>
      <c r="AC89" s="47" t="s">
        <v>438</v>
      </c>
      <c r="AD89" s="57" t="s">
        <v>42</v>
      </c>
    </row>
    <row r="90" spans="1:30" ht="60" customHeight="1" x14ac:dyDescent="0.25">
      <c r="A90" s="25">
        <v>84</v>
      </c>
      <c r="B90" s="26" t="s">
        <v>439</v>
      </c>
      <c r="C90" s="26"/>
      <c r="D90" s="26"/>
      <c r="E90" s="27"/>
      <c r="F90" s="28" t="s">
        <v>440</v>
      </c>
      <c r="G90" s="29">
        <v>40</v>
      </c>
      <c r="H90" s="30" t="s">
        <v>441</v>
      </c>
      <c r="I90" s="29" t="s">
        <v>71</v>
      </c>
      <c r="J90" s="30" t="s">
        <v>313</v>
      </c>
      <c r="K90" s="29">
        <v>16</v>
      </c>
      <c r="L90" s="30" t="s">
        <v>85</v>
      </c>
      <c r="M90" s="31" t="s">
        <v>74</v>
      </c>
      <c r="N90" s="30" t="s">
        <v>49</v>
      </c>
      <c r="O90" s="32"/>
      <c r="P90" s="32"/>
      <c r="Q90" s="32" t="s">
        <v>217</v>
      </c>
      <c r="R90" s="29" t="s">
        <v>37</v>
      </c>
      <c r="S90" s="29" t="s">
        <v>37</v>
      </c>
      <c r="T90" s="29" t="s">
        <v>37</v>
      </c>
      <c r="U90" s="29" t="s">
        <v>37</v>
      </c>
      <c r="V90" s="29" t="s">
        <v>50</v>
      </c>
      <c r="W90" s="25"/>
      <c r="X90" s="25"/>
      <c r="Y90" s="34" t="s">
        <v>58</v>
      </c>
      <c r="Z90" s="34" t="s">
        <v>51</v>
      </c>
      <c r="AA90" s="35" t="s">
        <v>52</v>
      </c>
      <c r="AB90" s="47" t="s">
        <v>442</v>
      </c>
      <c r="AC90" s="47" t="s">
        <v>443</v>
      </c>
      <c r="AD90" s="57" t="s">
        <v>42</v>
      </c>
    </row>
    <row r="91" spans="1:30" ht="60" customHeight="1" x14ac:dyDescent="0.25">
      <c r="A91" s="25">
        <v>85</v>
      </c>
      <c r="B91" s="26" t="s">
        <v>439</v>
      </c>
      <c r="C91" s="69"/>
      <c r="D91" s="70"/>
      <c r="E91" s="71"/>
      <c r="F91" s="28" t="s">
        <v>176</v>
      </c>
      <c r="G91" s="29">
        <v>33</v>
      </c>
      <c r="H91" s="30" t="s">
        <v>177</v>
      </c>
      <c r="I91" s="29" t="s">
        <v>178</v>
      </c>
      <c r="J91" s="30" t="s">
        <v>179</v>
      </c>
      <c r="K91" s="29">
        <v>8</v>
      </c>
      <c r="L91" s="30" t="s">
        <v>180</v>
      </c>
      <c r="M91" s="31" t="s">
        <v>181</v>
      </c>
      <c r="N91" s="30" t="s">
        <v>49</v>
      </c>
      <c r="O91" s="32"/>
      <c r="P91" s="32"/>
      <c r="Q91" s="32" t="s">
        <v>217</v>
      </c>
      <c r="R91" s="29" t="s">
        <v>37</v>
      </c>
      <c r="S91" s="29" t="s">
        <v>37</v>
      </c>
      <c r="T91" s="29" t="s">
        <v>37</v>
      </c>
      <c r="U91" s="29" t="s">
        <v>37</v>
      </c>
      <c r="V91" s="29" t="s">
        <v>102</v>
      </c>
      <c r="W91" s="25"/>
      <c r="X91" s="25"/>
      <c r="Y91" s="34" t="s">
        <v>38</v>
      </c>
      <c r="Z91" s="34" t="s">
        <v>51</v>
      </c>
      <c r="AA91" s="35" t="s">
        <v>103</v>
      </c>
      <c r="AB91" s="47" t="s">
        <v>182</v>
      </c>
      <c r="AC91" s="47" t="s">
        <v>183</v>
      </c>
      <c r="AD91" s="57" t="s">
        <v>42</v>
      </c>
    </row>
    <row r="92" spans="1:30" ht="60" customHeight="1" x14ac:dyDescent="0.25">
      <c r="A92" s="25">
        <v>86</v>
      </c>
      <c r="B92" s="26" t="s">
        <v>439</v>
      </c>
      <c r="C92" s="40"/>
      <c r="D92" s="40"/>
      <c r="E92" s="41"/>
      <c r="F92" s="42" t="s">
        <v>444</v>
      </c>
      <c r="G92" s="43">
        <v>43</v>
      </c>
      <c r="H92" s="44" t="s">
        <v>32</v>
      </c>
      <c r="I92" s="43" t="s">
        <v>33</v>
      </c>
      <c r="J92" s="44" t="s">
        <v>361</v>
      </c>
      <c r="K92" s="43">
        <v>10</v>
      </c>
      <c r="L92" s="44" t="s">
        <v>108</v>
      </c>
      <c r="M92" s="31" t="s">
        <v>74</v>
      </c>
      <c r="N92" s="30" t="s">
        <v>49</v>
      </c>
      <c r="O92" s="32"/>
      <c r="P92" s="32"/>
      <c r="Q92" s="32" t="s">
        <v>217</v>
      </c>
      <c r="R92" s="29" t="s">
        <v>37</v>
      </c>
      <c r="S92" s="29" t="s">
        <v>37</v>
      </c>
      <c r="T92" s="29" t="s">
        <v>37</v>
      </c>
      <c r="U92" s="29" t="s">
        <v>37</v>
      </c>
      <c r="V92" s="29" t="s">
        <v>50</v>
      </c>
      <c r="W92" s="25"/>
      <c r="X92" s="25"/>
      <c r="Y92" s="34" t="s">
        <v>58</v>
      </c>
      <c r="Z92" s="34" t="s">
        <v>51</v>
      </c>
      <c r="AA92" s="35" t="s">
        <v>52</v>
      </c>
      <c r="AB92" s="72" t="s">
        <v>445</v>
      </c>
      <c r="AC92" s="72" t="s">
        <v>446</v>
      </c>
      <c r="AD92" s="57" t="s">
        <v>42</v>
      </c>
    </row>
    <row r="93" spans="1:30" ht="60" customHeight="1" x14ac:dyDescent="0.25">
      <c r="A93" s="25"/>
      <c r="B93" s="26"/>
      <c r="C93" s="26"/>
      <c r="D93" s="26"/>
      <c r="E93" s="27"/>
      <c r="F93" s="28"/>
      <c r="G93" s="29"/>
      <c r="H93" s="30"/>
      <c r="I93" s="29"/>
      <c r="J93" s="30"/>
      <c r="K93" s="29"/>
      <c r="L93" s="30"/>
      <c r="M93" s="31"/>
      <c r="N93" s="30"/>
      <c r="O93" s="32"/>
      <c r="P93" s="32"/>
      <c r="Q93" s="32"/>
      <c r="R93" s="29"/>
      <c r="S93" s="29"/>
      <c r="T93" s="29"/>
      <c r="U93" s="29"/>
      <c r="V93" s="29"/>
      <c r="W93" s="73"/>
      <c r="X93" s="73"/>
      <c r="Y93" s="74"/>
      <c r="Z93" s="74"/>
      <c r="AA93" s="75"/>
      <c r="AB93" s="47"/>
      <c r="AC93" s="47"/>
      <c r="AD93" s="37"/>
    </row>
    <row r="94" spans="1:30" ht="60" customHeight="1" x14ac:dyDescent="0.25">
      <c r="A94" s="25"/>
      <c r="B94" s="26"/>
      <c r="C94" s="26"/>
      <c r="D94" s="26"/>
      <c r="E94" s="27"/>
      <c r="F94" s="28"/>
      <c r="G94" s="29"/>
      <c r="H94" s="30"/>
      <c r="I94" s="29"/>
      <c r="J94" s="30"/>
      <c r="K94" s="29"/>
      <c r="L94" s="30"/>
      <c r="M94" s="31"/>
      <c r="N94" s="30"/>
      <c r="O94" s="32"/>
      <c r="P94" s="32"/>
      <c r="Q94" s="32"/>
      <c r="R94" s="29"/>
      <c r="S94" s="29"/>
      <c r="T94" s="29"/>
      <c r="U94" s="29"/>
      <c r="V94" s="29"/>
      <c r="W94" s="73"/>
      <c r="X94" s="25"/>
      <c r="Y94" s="34"/>
      <c r="Z94" s="34"/>
      <c r="AA94" s="35"/>
      <c r="AB94" s="47"/>
      <c r="AC94" s="47"/>
      <c r="AD94" s="37"/>
    </row>
    <row r="95" spans="1:30" ht="60" customHeight="1" x14ac:dyDescent="0.25">
      <c r="A95" s="25"/>
      <c r="B95" s="26"/>
      <c r="C95" s="26"/>
      <c r="D95" s="26"/>
      <c r="E95" s="27"/>
      <c r="F95" s="28"/>
      <c r="G95" s="29"/>
      <c r="H95" s="30"/>
      <c r="I95" s="29"/>
      <c r="J95" s="30"/>
      <c r="K95" s="29"/>
      <c r="L95" s="30"/>
      <c r="M95" s="31"/>
      <c r="N95" s="30"/>
      <c r="O95" s="32"/>
      <c r="P95" s="32"/>
      <c r="Q95" s="32"/>
      <c r="R95" s="29"/>
      <c r="S95" s="29"/>
      <c r="T95" s="29"/>
      <c r="U95" s="29"/>
      <c r="V95" s="29"/>
      <c r="W95" s="25"/>
      <c r="X95" s="25"/>
      <c r="Y95" s="34"/>
      <c r="Z95" s="34"/>
      <c r="AA95" s="35"/>
      <c r="AB95" s="47"/>
      <c r="AC95" s="47"/>
      <c r="AD95" s="37"/>
    </row>
    <row r="96" spans="1:30" ht="60" customHeight="1" x14ac:dyDescent="0.25">
      <c r="A96" s="25"/>
      <c r="B96" s="26"/>
      <c r="C96" s="26"/>
      <c r="D96" s="26"/>
      <c r="E96" s="27"/>
      <c r="F96" s="28"/>
      <c r="G96" s="29"/>
      <c r="H96" s="30"/>
      <c r="I96" s="29"/>
      <c r="J96" s="30"/>
      <c r="K96" s="29"/>
      <c r="L96" s="30"/>
      <c r="M96" s="31"/>
      <c r="N96" s="30"/>
      <c r="O96" s="32"/>
      <c r="P96" s="32"/>
      <c r="Q96" s="32"/>
      <c r="R96" s="29"/>
      <c r="S96" s="29"/>
      <c r="T96" s="29"/>
      <c r="U96" s="29"/>
      <c r="V96" s="29"/>
      <c r="W96" s="25"/>
      <c r="X96" s="25"/>
      <c r="Y96" s="34"/>
      <c r="Z96" s="34"/>
      <c r="AA96" s="35"/>
      <c r="AB96" s="47"/>
      <c r="AC96" s="47"/>
      <c r="AD96" s="37"/>
    </row>
    <row r="97" spans="1:30" ht="60" customHeight="1" x14ac:dyDescent="0.25">
      <c r="A97" s="25"/>
      <c r="B97" s="26"/>
      <c r="C97" s="26"/>
      <c r="D97" s="26"/>
      <c r="E97" s="27"/>
      <c r="F97" s="28"/>
      <c r="G97" s="29"/>
      <c r="H97" s="30"/>
      <c r="I97" s="29"/>
      <c r="J97" s="30"/>
      <c r="K97" s="29"/>
      <c r="L97" s="30"/>
      <c r="M97" s="31"/>
      <c r="N97" s="30"/>
      <c r="O97" s="32"/>
      <c r="P97" s="32"/>
      <c r="Q97" s="32"/>
      <c r="R97" s="29"/>
      <c r="S97" s="29"/>
      <c r="T97" s="29"/>
      <c r="U97" s="29"/>
      <c r="V97" s="29"/>
      <c r="W97" s="25"/>
      <c r="X97" s="25"/>
      <c r="Y97" s="34"/>
      <c r="Z97" s="34"/>
      <c r="AA97" s="35"/>
      <c r="AB97" s="47"/>
      <c r="AC97" s="47"/>
      <c r="AD97" s="37"/>
    </row>
    <row r="98" spans="1:30" ht="60" customHeight="1" x14ac:dyDescent="0.25">
      <c r="A98" s="25"/>
      <c r="B98" s="40"/>
      <c r="C98" s="26"/>
      <c r="D98" s="40"/>
      <c r="E98" s="41"/>
      <c r="F98" s="42"/>
      <c r="G98" s="43"/>
      <c r="H98" s="44"/>
      <c r="I98" s="43"/>
      <c r="J98" s="44"/>
      <c r="K98" s="43"/>
      <c r="L98" s="44"/>
      <c r="M98" s="31"/>
      <c r="N98" s="44"/>
      <c r="O98" s="76"/>
      <c r="P98" s="76"/>
      <c r="Q98" s="76"/>
      <c r="R98" s="43"/>
      <c r="S98" s="43"/>
      <c r="T98" s="43"/>
      <c r="U98" s="43"/>
      <c r="V98" s="29"/>
      <c r="W98" s="25"/>
      <c r="X98" s="25"/>
      <c r="Y98" s="34"/>
      <c r="Z98" s="34"/>
      <c r="AA98" s="35"/>
      <c r="AB98" s="47"/>
      <c r="AC98" s="47"/>
      <c r="AD98" s="37"/>
    </row>
    <row r="99" spans="1:30" ht="60" customHeight="1" x14ac:dyDescent="0.25">
      <c r="A99" s="25"/>
      <c r="B99" s="26"/>
      <c r="C99" s="26"/>
      <c r="D99" s="26"/>
      <c r="E99" s="27"/>
      <c r="F99" s="28"/>
      <c r="G99" s="29"/>
      <c r="H99" s="30"/>
      <c r="I99" s="29"/>
      <c r="J99" s="30"/>
      <c r="K99" s="29"/>
      <c r="L99" s="30"/>
      <c r="M99" s="31"/>
      <c r="N99" s="30"/>
      <c r="O99" s="32"/>
      <c r="P99" s="32"/>
      <c r="Q99" s="32"/>
      <c r="R99" s="29"/>
      <c r="S99" s="29"/>
      <c r="T99" s="29"/>
      <c r="U99" s="29"/>
      <c r="V99" s="29"/>
      <c r="W99" s="25"/>
      <c r="X99" s="25"/>
      <c r="Y99" s="34"/>
      <c r="Z99" s="34"/>
      <c r="AA99" s="35"/>
      <c r="AB99" s="47"/>
      <c r="AC99" s="47"/>
      <c r="AD99" s="37"/>
    </row>
    <row r="100" spans="1:30" ht="60" customHeight="1" x14ac:dyDescent="0.25">
      <c r="A100" s="25"/>
      <c r="B100" s="26"/>
      <c r="C100" s="26"/>
      <c r="D100" s="26"/>
      <c r="E100" s="27"/>
      <c r="F100" s="28"/>
      <c r="G100" s="29"/>
      <c r="H100" s="30"/>
      <c r="I100" s="29"/>
      <c r="J100" s="30"/>
      <c r="K100" s="29"/>
      <c r="L100" s="30"/>
      <c r="M100" s="31"/>
      <c r="N100" s="44"/>
      <c r="O100" s="76"/>
      <c r="P100" s="76"/>
      <c r="Q100" s="76"/>
      <c r="R100" s="43"/>
      <c r="S100" s="43"/>
      <c r="T100" s="43"/>
      <c r="U100" s="43"/>
      <c r="V100" s="29"/>
      <c r="W100" s="25"/>
      <c r="X100" s="25"/>
      <c r="Y100" s="34"/>
      <c r="Z100" s="34"/>
      <c r="AA100" s="35"/>
      <c r="AB100" s="47"/>
      <c r="AC100" s="47"/>
      <c r="AD100" s="37"/>
    </row>
    <row r="101" spans="1:30" ht="60" customHeight="1" x14ac:dyDescent="0.25">
      <c r="A101" s="25"/>
      <c r="B101" s="26"/>
      <c r="C101" s="26"/>
      <c r="D101" s="26"/>
      <c r="E101" s="27"/>
      <c r="F101" s="28"/>
      <c r="G101" s="29"/>
      <c r="H101" s="30"/>
      <c r="I101" s="29"/>
      <c r="J101" s="30"/>
      <c r="K101" s="29"/>
      <c r="L101" s="30"/>
      <c r="M101" s="31"/>
      <c r="N101" s="44"/>
      <c r="O101" s="76"/>
      <c r="P101" s="76"/>
      <c r="Q101" s="76"/>
      <c r="R101" s="43"/>
      <c r="S101" s="43"/>
      <c r="T101" s="43"/>
      <c r="U101" s="43"/>
      <c r="V101" s="29"/>
      <c r="W101" s="25"/>
      <c r="X101" s="25"/>
      <c r="Y101" s="34"/>
      <c r="Z101" s="34"/>
      <c r="AA101" s="35"/>
      <c r="AB101" s="47"/>
      <c r="AC101" s="47"/>
      <c r="AD101" s="37"/>
    </row>
    <row r="102" spans="1:30" ht="60" customHeight="1" x14ac:dyDescent="0.25">
      <c r="A102" s="25"/>
      <c r="B102" s="26"/>
      <c r="C102" s="26"/>
      <c r="D102" s="26"/>
      <c r="E102" s="27"/>
      <c r="F102" s="28"/>
      <c r="G102" s="29"/>
      <c r="H102" s="30"/>
      <c r="I102" s="29"/>
      <c r="J102" s="30"/>
      <c r="K102" s="29"/>
      <c r="L102" s="30"/>
      <c r="M102" s="31"/>
      <c r="N102" s="30"/>
      <c r="O102" s="32"/>
      <c r="P102" s="32"/>
      <c r="Q102" s="32"/>
      <c r="R102" s="29"/>
      <c r="S102" s="29"/>
      <c r="T102" s="29"/>
      <c r="U102" s="29"/>
      <c r="V102" s="29"/>
      <c r="W102" s="25"/>
      <c r="X102" s="25"/>
      <c r="Y102" s="34"/>
      <c r="Z102" s="34"/>
      <c r="AA102" s="35"/>
      <c r="AB102" s="47"/>
      <c r="AC102" s="47"/>
      <c r="AD102" s="37"/>
    </row>
    <row r="103" spans="1:30" ht="60" customHeight="1" x14ac:dyDescent="0.25">
      <c r="A103" s="25"/>
      <c r="B103" s="26"/>
      <c r="C103" s="26"/>
      <c r="D103" s="26"/>
      <c r="E103" s="27"/>
      <c r="F103" s="28"/>
      <c r="G103" s="29"/>
      <c r="H103" s="30"/>
      <c r="I103" s="29"/>
      <c r="J103" s="30"/>
      <c r="K103" s="29"/>
      <c r="L103" s="30"/>
      <c r="M103" s="31"/>
      <c r="N103" s="30"/>
      <c r="O103" s="32"/>
      <c r="P103" s="32"/>
      <c r="Q103" s="32"/>
      <c r="R103" s="29"/>
      <c r="S103" s="29"/>
      <c r="T103" s="29"/>
      <c r="U103" s="29"/>
      <c r="V103" s="29"/>
      <c r="W103" s="25"/>
      <c r="X103" s="25"/>
      <c r="Y103" s="34"/>
      <c r="Z103" s="34"/>
      <c r="AA103" s="35"/>
      <c r="AB103" s="47"/>
      <c r="AC103" s="47"/>
      <c r="AD103" s="37"/>
    </row>
    <row r="104" spans="1:30" ht="60" customHeight="1" x14ac:dyDescent="0.25">
      <c r="A104" s="25"/>
      <c r="B104" s="26"/>
      <c r="C104" s="26"/>
      <c r="D104" s="26"/>
      <c r="E104" s="27"/>
      <c r="F104" s="28"/>
      <c r="G104" s="29"/>
      <c r="H104" s="30"/>
      <c r="I104" s="29"/>
      <c r="J104" s="30"/>
      <c r="K104" s="29"/>
      <c r="L104" s="30"/>
      <c r="M104" s="31"/>
      <c r="N104" s="44"/>
      <c r="O104" s="76"/>
      <c r="P104" s="76"/>
      <c r="Q104" s="76"/>
      <c r="R104" s="43"/>
      <c r="S104" s="43"/>
      <c r="T104" s="43"/>
      <c r="U104" s="43"/>
      <c r="V104" s="29"/>
      <c r="W104" s="25"/>
      <c r="X104" s="25"/>
      <c r="Y104" s="34"/>
      <c r="Z104" s="34"/>
      <c r="AA104" s="35"/>
      <c r="AB104" s="47"/>
      <c r="AC104" s="47"/>
      <c r="AD104" s="37"/>
    </row>
    <row r="105" spans="1:30" ht="60" customHeight="1" x14ac:dyDescent="0.25">
      <c r="A105" s="25"/>
      <c r="B105" s="26"/>
      <c r="C105" s="26"/>
      <c r="D105" s="26"/>
      <c r="E105" s="27"/>
      <c r="F105" s="28"/>
      <c r="G105" s="29"/>
      <c r="H105" s="30"/>
      <c r="I105" s="29"/>
      <c r="J105" s="30"/>
      <c r="K105" s="29"/>
      <c r="L105" s="30"/>
      <c r="M105" s="31"/>
      <c r="N105" s="30"/>
      <c r="O105" s="32"/>
      <c r="P105" s="32"/>
      <c r="Q105" s="32"/>
      <c r="R105" s="29"/>
      <c r="S105" s="29"/>
      <c r="T105" s="29"/>
      <c r="U105" s="29"/>
      <c r="V105" s="29"/>
      <c r="W105" s="25"/>
      <c r="X105" s="25"/>
      <c r="Y105" s="34"/>
      <c r="Z105" s="34"/>
      <c r="AA105" s="35"/>
      <c r="AB105" s="47"/>
      <c r="AC105" s="47"/>
      <c r="AD105" s="37"/>
    </row>
    <row r="106" spans="1:30" ht="60" customHeight="1" x14ac:dyDescent="0.25">
      <c r="A106" s="25"/>
      <c r="B106" s="26"/>
      <c r="C106" s="27"/>
      <c r="D106" s="26"/>
      <c r="E106" s="27"/>
      <c r="F106" s="28"/>
      <c r="G106" s="29"/>
      <c r="H106" s="30"/>
      <c r="I106" s="29"/>
      <c r="J106" s="30"/>
      <c r="K106" s="29"/>
      <c r="L106" s="30"/>
      <c r="M106" s="31"/>
      <c r="N106" s="30"/>
      <c r="O106" s="32"/>
      <c r="P106" s="32"/>
      <c r="Q106" s="32"/>
      <c r="R106" s="29"/>
      <c r="S106" s="29"/>
      <c r="T106" s="29"/>
      <c r="U106" s="29"/>
      <c r="V106" s="29"/>
      <c r="W106" s="25"/>
      <c r="X106" s="25"/>
      <c r="Y106" s="34"/>
      <c r="Z106" s="34"/>
      <c r="AA106" s="35"/>
      <c r="AB106" s="47"/>
      <c r="AC106" s="47"/>
      <c r="AD106" s="37"/>
    </row>
    <row r="107" spans="1:30" ht="60" customHeight="1" x14ac:dyDescent="0.25">
      <c r="A107" s="25"/>
      <c r="B107" s="26"/>
      <c r="C107" s="26"/>
      <c r="D107" s="26"/>
      <c r="E107" s="27"/>
      <c r="F107" s="28"/>
      <c r="G107" s="29"/>
      <c r="H107" s="30"/>
      <c r="I107" s="29"/>
      <c r="J107" s="30"/>
      <c r="K107" s="29"/>
      <c r="L107" s="30"/>
      <c r="M107" s="31"/>
      <c r="N107" s="30"/>
      <c r="O107" s="32"/>
      <c r="P107" s="32"/>
      <c r="Q107" s="32"/>
      <c r="R107" s="29"/>
      <c r="S107" s="29"/>
      <c r="T107" s="29"/>
      <c r="U107" s="29"/>
      <c r="V107" s="29"/>
      <c r="W107" s="25"/>
      <c r="X107" s="25"/>
      <c r="Y107" s="34"/>
      <c r="Z107" s="34"/>
      <c r="AA107" s="35"/>
      <c r="AB107" s="47"/>
      <c r="AC107" s="47"/>
      <c r="AD107" s="37"/>
    </row>
    <row r="108" spans="1:30" ht="60" customHeight="1" x14ac:dyDescent="0.25">
      <c r="A108" s="25"/>
      <c r="B108" s="26"/>
      <c r="C108" s="26"/>
      <c r="D108" s="26"/>
      <c r="E108" s="27"/>
      <c r="F108" s="28"/>
      <c r="G108" s="29"/>
      <c r="H108" s="30"/>
      <c r="I108" s="29"/>
      <c r="J108" s="30"/>
      <c r="K108" s="29"/>
      <c r="L108" s="30"/>
      <c r="M108" s="31"/>
      <c r="N108" s="30"/>
      <c r="O108" s="32"/>
      <c r="P108" s="32"/>
      <c r="Q108" s="32"/>
      <c r="R108" s="29"/>
      <c r="S108" s="29"/>
      <c r="T108" s="29"/>
      <c r="U108" s="29"/>
      <c r="V108" s="29"/>
      <c r="W108" s="25"/>
      <c r="X108" s="25"/>
      <c r="Y108" s="34"/>
      <c r="Z108" s="34"/>
      <c r="AA108" s="35"/>
      <c r="AB108" s="47"/>
      <c r="AC108" s="47"/>
      <c r="AD108" s="37"/>
    </row>
    <row r="109" spans="1:30" ht="60" customHeight="1" x14ac:dyDescent="0.25">
      <c r="A109" s="25"/>
      <c r="B109" s="26"/>
      <c r="C109" s="26"/>
      <c r="D109" s="26"/>
      <c r="E109" s="27"/>
      <c r="F109" s="28"/>
      <c r="G109" s="29"/>
      <c r="H109" s="30"/>
      <c r="I109" s="29"/>
      <c r="J109" s="30"/>
      <c r="K109" s="29"/>
      <c r="L109" s="30"/>
      <c r="M109" s="31"/>
      <c r="N109" s="30"/>
      <c r="O109" s="32"/>
      <c r="P109" s="32"/>
      <c r="Q109" s="32"/>
      <c r="R109" s="29"/>
      <c r="S109" s="29"/>
      <c r="T109" s="29"/>
      <c r="U109" s="29"/>
      <c r="V109" s="29"/>
      <c r="W109" s="25"/>
      <c r="X109" s="25"/>
      <c r="Y109" s="34"/>
      <c r="Z109" s="34"/>
      <c r="AA109" s="35"/>
      <c r="AB109" s="47"/>
      <c r="AC109" s="47"/>
      <c r="AD109" s="37"/>
    </row>
    <row r="110" spans="1:30" ht="60" customHeight="1" x14ac:dyDescent="0.25">
      <c r="A110" s="25"/>
      <c r="B110" s="26"/>
      <c r="C110" s="26"/>
      <c r="D110" s="26"/>
      <c r="E110" s="27"/>
      <c r="F110" s="28"/>
      <c r="G110" s="29"/>
      <c r="H110" s="30"/>
      <c r="I110" s="29"/>
      <c r="J110" s="30"/>
      <c r="K110" s="29"/>
      <c r="L110" s="30"/>
      <c r="M110" s="31"/>
      <c r="N110" s="30"/>
      <c r="O110" s="32"/>
      <c r="P110" s="32"/>
      <c r="Q110" s="32"/>
      <c r="R110" s="29"/>
      <c r="S110" s="29"/>
      <c r="T110" s="29"/>
      <c r="U110" s="29"/>
      <c r="V110" s="29"/>
      <c r="W110" s="25"/>
      <c r="X110" s="25"/>
      <c r="Y110" s="34"/>
      <c r="Z110" s="34"/>
      <c r="AA110" s="35"/>
      <c r="AB110" s="47"/>
      <c r="AC110" s="47"/>
      <c r="AD110" s="37"/>
    </row>
    <row r="111" spans="1:30" ht="60" customHeight="1" x14ac:dyDescent="0.25">
      <c r="A111" s="25"/>
      <c r="B111" s="26"/>
      <c r="C111" s="26"/>
      <c r="D111" s="26"/>
      <c r="E111" s="27"/>
      <c r="F111" s="28"/>
      <c r="G111" s="29"/>
      <c r="H111" s="30"/>
      <c r="I111" s="29"/>
      <c r="J111" s="30"/>
      <c r="K111" s="29"/>
      <c r="L111" s="30"/>
      <c r="M111" s="31"/>
      <c r="N111" s="30"/>
      <c r="O111" s="32"/>
      <c r="P111" s="32"/>
      <c r="Q111" s="32"/>
      <c r="R111" s="29"/>
      <c r="S111" s="29"/>
      <c r="T111" s="29"/>
      <c r="U111" s="29"/>
      <c r="V111" s="29"/>
      <c r="W111" s="25"/>
      <c r="X111" s="25"/>
      <c r="Y111" s="34"/>
      <c r="Z111" s="34"/>
      <c r="AA111" s="35"/>
      <c r="AB111" s="47"/>
      <c r="AC111" s="47"/>
      <c r="AD111" s="37"/>
    </row>
    <row r="112" spans="1:30" ht="60" customHeight="1" x14ac:dyDescent="0.25">
      <c r="A112" s="25"/>
      <c r="B112" s="26"/>
      <c r="C112" s="27"/>
      <c r="D112" s="26"/>
      <c r="E112" s="27"/>
      <c r="F112" s="28"/>
      <c r="G112" s="29"/>
      <c r="H112" s="30"/>
      <c r="I112" s="29"/>
      <c r="J112" s="30"/>
      <c r="K112" s="29"/>
      <c r="L112" s="30"/>
      <c r="M112" s="31"/>
      <c r="N112" s="30"/>
      <c r="O112" s="32"/>
      <c r="P112" s="32"/>
      <c r="Q112" s="32"/>
      <c r="R112" s="29"/>
      <c r="S112" s="29"/>
      <c r="T112" s="29"/>
      <c r="U112" s="29"/>
      <c r="V112" s="29"/>
      <c r="W112" s="25"/>
      <c r="X112" s="25"/>
      <c r="Y112" s="34"/>
      <c r="Z112" s="34"/>
      <c r="AA112" s="35"/>
      <c r="AB112" s="47"/>
      <c r="AC112" s="47"/>
      <c r="AD112" s="37"/>
    </row>
    <row r="113" spans="1:30" ht="60" customHeight="1" x14ac:dyDescent="0.25">
      <c r="A113" s="25"/>
      <c r="B113" s="26"/>
      <c r="C113" s="27"/>
      <c r="D113" s="26"/>
      <c r="E113" s="27"/>
      <c r="F113" s="28"/>
      <c r="G113" s="29"/>
      <c r="H113" s="30"/>
      <c r="I113" s="29"/>
      <c r="J113" s="30"/>
      <c r="K113" s="29"/>
      <c r="L113" s="30"/>
      <c r="M113" s="31"/>
      <c r="N113" s="30"/>
      <c r="O113" s="32"/>
      <c r="P113" s="32"/>
      <c r="Q113" s="32"/>
      <c r="R113" s="29"/>
      <c r="S113" s="29"/>
      <c r="T113" s="29"/>
      <c r="U113" s="29"/>
      <c r="V113" s="29"/>
      <c r="W113" s="25"/>
      <c r="X113" s="25"/>
      <c r="Y113" s="34"/>
      <c r="Z113" s="34"/>
      <c r="AA113" s="35"/>
      <c r="AB113" s="47"/>
      <c r="AC113" s="47"/>
      <c r="AD113" s="37"/>
    </row>
    <row r="114" spans="1:30" ht="60" customHeight="1" x14ac:dyDescent="0.25">
      <c r="A114" s="25"/>
      <c r="B114" s="26"/>
      <c r="C114" s="27"/>
      <c r="D114" s="26"/>
      <c r="E114" s="27"/>
      <c r="F114" s="28"/>
      <c r="G114" s="29"/>
      <c r="H114" s="30"/>
      <c r="I114" s="29"/>
      <c r="J114" s="30"/>
      <c r="K114" s="29"/>
      <c r="L114" s="30"/>
      <c r="M114" s="31"/>
      <c r="N114" s="30"/>
      <c r="O114" s="32"/>
      <c r="P114" s="32"/>
      <c r="Q114" s="32"/>
      <c r="R114" s="29"/>
      <c r="S114" s="29"/>
      <c r="T114" s="29"/>
      <c r="U114" s="29"/>
      <c r="V114" s="29"/>
      <c r="W114" s="25"/>
      <c r="X114" s="25"/>
      <c r="Y114" s="34"/>
      <c r="Z114" s="34"/>
      <c r="AA114" s="35"/>
      <c r="AB114" s="47"/>
      <c r="AC114" s="47"/>
      <c r="AD114" s="37"/>
    </row>
    <row r="115" spans="1:30" ht="60" customHeight="1" x14ac:dyDescent="0.25">
      <c r="A115" s="25"/>
      <c r="B115" s="26"/>
      <c r="C115" s="27"/>
      <c r="D115" s="26"/>
      <c r="E115" s="27"/>
      <c r="F115" s="28"/>
      <c r="G115" s="29"/>
      <c r="H115" s="30"/>
      <c r="I115" s="29"/>
      <c r="J115" s="30"/>
      <c r="K115" s="29"/>
      <c r="L115" s="30"/>
      <c r="M115" s="31"/>
      <c r="N115" s="30"/>
      <c r="O115" s="32"/>
      <c r="P115" s="32"/>
      <c r="Q115" s="32"/>
      <c r="R115" s="29"/>
      <c r="S115" s="29"/>
      <c r="T115" s="29"/>
      <c r="U115" s="29"/>
      <c r="V115" s="29"/>
      <c r="W115" s="25"/>
      <c r="X115" s="25"/>
      <c r="Y115" s="34"/>
      <c r="Z115" s="34"/>
      <c r="AA115" s="35"/>
      <c r="AB115" s="47"/>
      <c r="AC115" s="47"/>
      <c r="AD115" s="37"/>
    </row>
    <row r="116" spans="1:30" ht="60" customHeight="1" x14ac:dyDescent="0.25">
      <c r="A116" s="25"/>
      <c r="B116" s="26"/>
      <c r="C116" s="27"/>
      <c r="D116" s="26"/>
      <c r="E116" s="27"/>
      <c r="F116" s="28"/>
      <c r="G116" s="29"/>
      <c r="H116" s="30"/>
      <c r="I116" s="29"/>
      <c r="J116" s="30"/>
      <c r="K116" s="29"/>
      <c r="L116" s="30"/>
      <c r="M116" s="31"/>
      <c r="N116" s="30"/>
      <c r="O116" s="32"/>
      <c r="P116" s="32"/>
      <c r="Q116" s="32"/>
      <c r="R116" s="29"/>
      <c r="S116" s="29"/>
      <c r="T116" s="29"/>
      <c r="U116" s="29"/>
      <c r="V116" s="29"/>
      <c r="W116" s="25"/>
      <c r="X116" s="25"/>
      <c r="Y116" s="34"/>
      <c r="Z116" s="34"/>
      <c r="AA116" s="35"/>
      <c r="AB116" s="47"/>
      <c r="AC116" s="47"/>
      <c r="AD116" s="37"/>
    </row>
    <row r="117" spans="1:30" ht="60" customHeight="1" x14ac:dyDescent="0.25">
      <c r="A117" s="25"/>
      <c r="B117" s="26"/>
      <c r="C117" s="27"/>
      <c r="D117" s="26"/>
      <c r="E117" s="27"/>
      <c r="F117" s="28"/>
      <c r="G117" s="29"/>
      <c r="H117" s="30"/>
      <c r="I117" s="29"/>
      <c r="J117" s="30"/>
      <c r="K117" s="29"/>
      <c r="L117" s="30"/>
      <c r="M117" s="31"/>
      <c r="N117" s="30"/>
      <c r="O117" s="32"/>
      <c r="P117" s="32"/>
      <c r="Q117" s="32"/>
      <c r="R117" s="29"/>
      <c r="S117" s="29"/>
      <c r="T117" s="29"/>
      <c r="U117" s="29"/>
      <c r="V117" s="29"/>
      <c r="W117" s="25"/>
      <c r="X117" s="25"/>
      <c r="Y117" s="34"/>
      <c r="Z117" s="34"/>
      <c r="AA117" s="35"/>
      <c r="AB117" s="47"/>
      <c r="AC117" s="47"/>
      <c r="AD117" s="37"/>
    </row>
    <row r="118" spans="1:30" ht="60" customHeight="1" x14ac:dyDescent="0.25">
      <c r="A118" s="25"/>
      <c r="B118" s="26"/>
      <c r="C118" s="27"/>
      <c r="D118" s="26"/>
      <c r="E118" s="27"/>
      <c r="F118" s="28"/>
      <c r="G118" s="29"/>
      <c r="H118" s="30"/>
      <c r="I118" s="29"/>
      <c r="J118" s="30"/>
      <c r="K118" s="29"/>
      <c r="L118" s="30"/>
      <c r="M118" s="31"/>
      <c r="N118" s="30"/>
      <c r="O118" s="32"/>
      <c r="P118" s="32"/>
      <c r="Q118" s="32"/>
      <c r="R118" s="29"/>
      <c r="S118" s="29"/>
      <c r="T118" s="29"/>
      <c r="U118" s="29"/>
      <c r="V118" s="29"/>
      <c r="W118" s="25"/>
      <c r="X118" s="25"/>
      <c r="Y118" s="34"/>
      <c r="Z118" s="34"/>
      <c r="AA118" s="35"/>
      <c r="AB118" s="47"/>
      <c r="AC118" s="47"/>
      <c r="AD118" s="37"/>
    </row>
    <row r="119" spans="1:30" ht="60" customHeight="1" x14ac:dyDescent="0.25">
      <c r="A119" s="25"/>
      <c r="B119" s="26"/>
      <c r="C119" s="27"/>
      <c r="D119" s="26"/>
      <c r="E119" s="27"/>
      <c r="F119" s="28"/>
      <c r="G119" s="29"/>
      <c r="H119" s="30"/>
      <c r="I119" s="29"/>
      <c r="J119" s="30"/>
      <c r="K119" s="29"/>
      <c r="L119" s="30"/>
      <c r="M119" s="31"/>
      <c r="N119" s="30"/>
      <c r="O119" s="32"/>
      <c r="P119" s="32"/>
      <c r="Q119" s="32"/>
      <c r="R119" s="29"/>
      <c r="S119" s="29"/>
      <c r="T119" s="29"/>
      <c r="U119" s="29"/>
      <c r="V119" s="29"/>
      <c r="W119" s="25"/>
      <c r="X119" s="25"/>
      <c r="Y119" s="34"/>
      <c r="Z119" s="34"/>
      <c r="AA119" s="35"/>
      <c r="AB119" s="47"/>
      <c r="AC119" s="47"/>
      <c r="AD119" s="37"/>
    </row>
    <row r="120" spans="1:30" ht="60" customHeight="1" x14ac:dyDescent="0.25">
      <c r="A120" s="25"/>
      <c r="B120" s="26"/>
      <c r="C120" s="27"/>
      <c r="D120" s="26"/>
      <c r="E120" s="27"/>
      <c r="F120" s="28"/>
      <c r="G120" s="29"/>
      <c r="H120" s="30"/>
      <c r="I120" s="29"/>
      <c r="J120" s="30"/>
      <c r="K120" s="29"/>
      <c r="L120" s="30"/>
      <c r="M120" s="31"/>
      <c r="N120" s="30"/>
      <c r="O120" s="32"/>
      <c r="P120" s="32"/>
      <c r="Q120" s="32"/>
      <c r="R120" s="29"/>
      <c r="S120" s="29"/>
      <c r="T120" s="29"/>
      <c r="U120" s="29"/>
      <c r="V120" s="29"/>
      <c r="W120" s="25"/>
      <c r="X120" s="25"/>
      <c r="Y120" s="34"/>
      <c r="Z120" s="34"/>
      <c r="AA120" s="35"/>
      <c r="AB120" s="47"/>
      <c r="AC120" s="47"/>
      <c r="AD120" s="37"/>
    </row>
    <row r="121" spans="1:30" ht="60" customHeight="1" x14ac:dyDescent="0.25">
      <c r="A121" s="25"/>
      <c r="B121" s="26"/>
      <c r="C121" s="27"/>
      <c r="D121" s="26"/>
      <c r="E121" s="27"/>
      <c r="F121" s="28"/>
      <c r="G121" s="29"/>
      <c r="H121" s="30"/>
      <c r="I121" s="29"/>
      <c r="J121" s="30"/>
      <c r="K121" s="29"/>
      <c r="L121" s="30"/>
      <c r="M121" s="31"/>
      <c r="N121" s="30"/>
      <c r="O121" s="32"/>
      <c r="P121" s="32"/>
      <c r="Q121" s="32"/>
      <c r="R121" s="29"/>
      <c r="S121" s="29"/>
      <c r="T121" s="29"/>
      <c r="U121" s="29"/>
      <c r="V121" s="29"/>
      <c r="W121" s="25"/>
      <c r="X121" s="25"/>
      <c r="Y121" s="34"/>
      <c r="Z121" s="34"/>
      <c r="AA121" s="35"/>
      <c r="AB121" s="47"/>
      <c r="AC121" s="47"/>
      <c r="AD121" s="37"/>
    </row>
    <row r="122" spans="1:30" ht="60" customHeight="1" x14ac:dyDescent="0.25">
      <c r="A122" s="25"/>
      <c r="B122" s="26"/>
      <c r="C122" s="27"/>
      <c r="D122" s="26"/>
      <c r="E122" s="27"/>
      <c r="F122" s="28"/>
      <c r="G122" s="29"/>
      <c r="H122" s="30"/>
      <c r="I122" s="29"/>
      <c r="J122" s="30"/>
      <c r="K122" s="29"/>
      <c r="L122" s="30"/>
      <c r="M122" s="31"/>
      <c r="N122" s="30"/>
      <c r="O122" s="32"/>
      <c r="P122" s="32"/>
      <c r="Q122" s="32"/>
      <c r="R122" s="29"/>
      <c r="S122" s="29"/>
      <c r="T122" s="29"/>
      <c r="U122" s="29"/>
      <c r="V122" s="29"/>
      <c r="W122" s="25"/>
      <c r="X122" s="25"/>
      <c r="Y122" s="34"/>
      <c r="Z122" s="34"/>
      <c r="AA122" s="35"/>
      <c r="AB122" s="47"/>
      <c r="AC122" s="47"/>
      <c r="AD122" s="37"/>
    </row>
    <row r="123" spans="1:30" ht="60" customHeight="1" x14ac:dyDescent="0.25">
      <c r="A123" s="25"/>
      <c r="B123" s="26"/>
      <c r="C123" s="27"/>
      <c r="D123" s="26"/>
      <c r="E123" s="27"/>
      <c r="F123" s="28"/>
      <c r="G123" s="29"/>
      <c r="H123" s="30"/>
      <c r="I123" s="29"/>
      <c r="J123" s="30"/>
      <c r="K123" s="29"/>
      <c r="L123" s="30"/>
      <c r="M123" s="31"/>
      <c r="N123" s="30"/>
      <c r="O123" s="32"/>
      <c r="P123" s="32"/>
      <c r="Q123" s="32"/>
      <c r="R123" s="29"/>
      <c r="S123" s="29"/>
      <c r="T123" s="29"/>
      <c r="U123" s="29"/>
      <c r="V123" s="29"/>
      <c r="W123" s="25"/>
      <c r="X123" s="25"/>
      <c r="Y123" s="34"/>
      <c r="Z123" s="34"/>
      <c r="AA123" s="35"/>
      <c r="AB123" s="47"/>
      <c r="AC123" s="47"/>
      <c r="AD123" s="37"/>
    </row>
    <row r="124" spans="1:30" ht="60" customHeight="1" x14ac:dyDescent="0.25">
      <c r="A124" s="25"/>
      <c r="B124" s="26"/>
      <c r="C124" s="27"/>
      <c r="D124" s="26"/>
      <c r="E124" s="27"/>
      <c r="F124" s="28"/>
      <c r="G124" s="29"/>
      <c r="H124" s="30"/>
      <c r="I124" s="29"/>
      <c r="J124" s="30"/>
      <c r="K124" s="29"/>
      <c r="L124" s="30"/>
      <c r="M124" s="31"/>
      <c r="N124" s="30"/>
      <c r="O124" s="32"/>
      <c r="P124" s="32"/>
      <c r="Q124" s="32"/>
      <c r="R124" s="29"/>
      <c r="S124" s="29"/>
      <c r="T124" s="29"/>
      <c r="U124" s="29"/>
      <c r="V124" s="29"/>
      <c r="W124" s="25"/>
      <c r="X124" s="25"/>
      <c r="Y124" s="34"/>
      <c r="Z124" s="34"/>
      <c r="AA124" s="35"/>
      <c r="AB124" s="47"/>
      <c r="AC124" s="47"/>
      <c r="AD124" s="37"/>
    </row>
    <row r="125" spans="1:30" ht="60" customHeight="1" x14ac:dyDescent="0.25">
      <c r="A125" s="25"/>
      <c r="B125" s="26"/>
      <c r="C125" s="27"/>
      <c r="D125" s="26"/>
      <c r="E125" s="27"/>
      <c r="F125" s="28"/>
      <c r="G125" s="29"/>
      <c r="H125" s="30"/>
      <c r="I125" s="29"/>
      <c r="J125" s="30"/>
      <c r="K125" s="29"/>
      <c r="L125" s="30"/>
      <c r="M125" s="31"/>
      <c r="N125" s="30"/>
      <c r="O125" s="32"/>
      <c r="P125" s="32"/>
      <c r="Q125" s="32"/>
      <c r="R125" s="29"/>
      <c r="S125" s="29"/>
      <c r="T125" s="29"/>
      <c r="U125" s="29"/>
      <c r="V125" s="29"/>
      <c r="W125" s="25"/>
      <c r="X125" s="25"/>
      <c r="Y125" s="34"/>
      <c r="Z125" s="34"/>
      <c r="AA125" s="35"/>
      <c r="AB125" s="47"/>
      <c r="AC125" s="47"/>
      <c r="AD125" s="37"/>
    </row>
    <row r="126" spans="1:30" ht="60" customHeight="1" x14ac:dyDescent="0.25">
      <c r="A126" s="25"/>
      <c r="B126" s="26"/>
      <c r="C126" s="27"/>
      <c r="D126" s="26"/>
      <c r="E126" s="27"/>
      <c r="F126" s="28"/>
      <c r="G126" s="29"/>
      <c r="H126" s="30"/>
      <c r="I126" s="29"/>
      <c r="J126" s="30"/>
      <c r="K126" s="29"/>
      <c r="L126" s="30"/>
      <c r="M126" s="31"/>
      <c r="N126" s="30"/>
      <c r="O126" s="32"/>
      <c r="P126" s="32"/>
      <c r="Q126" s="32"/>
      <c r="R126" s="29"/>
      <c r="S126" s="29"/>
      <c r="T126" s="29"/>
      <c r="U126" s="29"/>
      <c r="V126" s="29"/>
      <c r="W126" s="25"/>
      <c r="X126" s="25"/>
      <c r="Y126" s="34"/>
      <c r="Z126" s="34"/>
      <c r="AA126" s="35"/>
      <c r="AB126" s="47"/>
      <c r="AC126" s="47"/>
      <c r="AD126" s="37"/>
    </row>
    <row r="127" spans="1:30" ht="60" customHeight="1" x14ac:dyDescent="0.25">
      <c r="A127" s="25"/>
      <c r="B127" s="26"/>
      <c r="C127" s="27"/>
      <c r="D127" s="26"/>
      <c r="E127" s="27"/>
      <c r="F127" s="28"/>
      <c r="G127" s="29"/>
      <c r="H127" s="30"/>
      <c r="I127" s="29"/>
      <c r="J127" s="30"/>
      <c r="K127" s="29"/>
      <c r="L127" s="30"/>
      <c r="M127" s="31"/>
      <c r="N127" s="30"/>
      <c r="O127" s="32"/>
      <c r="P127" s="32"/>
      <c r="Q127" s="32"/>
      <c r="R127" s="29"/>
      <c r="S127" s="29"/>
      <c r="T127" s="29"/>
      <c r="U127" s="29"/>
      <c r="V127" s="29"/>
      <c r="W127" s="25"/>
      <c r="X127" s="25"/>
      <c r="Y127" s="34"/>
      <c r="Z127" s="34"/>
      <c r="AA127" s="35"/>
      <c r="AB127" s="47"/>
      <c r="AC127" s="47"/>
      <c r="AD127" s="37"/>
    </row>
    <row r="128" spans="1:30" x14ac:dyDescent="0.25">
      <c r="O128" s="78"/>
      <c r="P128" s="79"/>
      <c r="Q128" s="78"/>
    </row>
    <row r="129" spans="6:17" x14ac:dyDescent="0.25">
      <c r="F129" s="80" t="s">
        <v>447</v>
      </c>
      <c r="G129" s="80"/>
      <c r="H129" s="81" t="s">
        <v>448</v>
      </c>
      <c r="O129" s="78"/>
      <c r="P129" s="79"/>
      <c r="Q129" s="78"/>
    </row>
    <row r="130" spans="6:17" x14ac:dyDescent="0.25">
      <c r="F130" s="82" t="s">
        <v>449</v>
      </c>
      <c r="G130" s="83"/>
      <c r="H130" s="84">
        <f ca="1">SUMPRODUCT(SUBTOTAL(3,OFFSET(AA6,ROW(AA7:AA157)-ROW(AA6),0)),--(AA7:AA157="Salary Related"))</f>
        <v>0</v>
      </c>
      <c r="L130" s="85"/>
      <c r="O130" s="78"/>
      <c r="P130" s="79"/>
      <c r="Q130" s="78"/>
    </row>
    <row r="131" spans="6:17" x14ac:dyDescent="0.25">
      <c r="F131" s="86" t="s">
        <v>52</v>
      </c>
      <c r="G131" s="87"/>
      <c r="H131" s="88" cm="1">
        <f t="array" aca="1" ref="H131" ca="1">SUMPRODUCT(SUBTOTAL(3,OFFSET(AA6,ROW(AA7:AA157)-ROW(AA6),0)),--(AA7:AA157="Non Salary Related"))</f>
        <v>55</v>
      </c>
      <c r="L131" s="4"/>
      <c r="O131" s="78"/>
      <c r="P131" s="79"/>
      <c r="Q131" s="78"/>
    </row>
    <row r="132" spans="6:17" x14ac:dyDescent="0.25">
      <c r="F132" s="89" t="s">
        <v>450</v>
      </c>
      <c r="G132" s="90"/>
      <c r="H132" s="91">
        <f ca="1">SUMPRODUCT(SUBTOTAL(3,OFFSET(AA6,ROW(AA7:AA157)-ROW(AA6),0,1)),--(AA7:AA157="NFR due to PEME")+(AA7:AA157="NFR due to Poor Evaluation"))</f>
        <v>20</v>
      </c>
      <c r="O132" s="78"/>
      <c r="P132" s="79"/>
      <c r="Q132" s="78"/>
    </row>
    <row r="133" spans="6:17" x14ac:dyDescent="0.25">
      <c r="F133" s="92" t="s">
        <v>40</v>
      </c>
      <c r="G133" s="93"/>
      <c r="H133" s="94" cm="1">
        <f t="array" aca="1" ref="H133" ca="1">SUMPRODUCT(SUBTOTAL(3,OFFSET(AA6,ROW(AA7:AA157)-ROW(AA6),0,1)),--(AA7:AA157="Retired"))</f>
        <v>11</v>
      </c>
      <c r="O133" s="78"/>
      <c r="P133" s="79"/>
      <c r="Q133" s="78"/>
    </row>
    <row r="134" spans="6:17" ht="15.75" thickBot="1" x14ac:dyDescent="0.3">
      <c r="F134" s="95" t="s">
        <v>448</v>
      </c>
      <c r="G134" s="96"/>
      <c r="H134" s="97">
        <f ca="1">SUM(H130:H133)</f>
        <v>86</v>
      </c>
      <c r="O134" s="78"/>
      <c r="P134" s="79"/>
      <c r="Q134" s="78"/>
    </row>
    <row r="135" spans="6:17" ht="15.75" thickTop="1" x14ac:dyDescent="0.25">
      <c r="O135" s="78"/>
      <c r="P135" s="79"/>
      <c r="Q135" s="78"/>
    </row>
    <row r="136" spans="6:17" x14ac:dyDescent="0.25">
      <c r="O136" s="78"/>
      <c r="P136" s="79"/>
      <c r="Q136" s="78"/>
    </row>
    <row r="137" spans="6:17" x14ac:dyDescent="0.25">
      <c r="O137" s="78"/>
      <c r="P137" s="79"/>
      <c r="Q137" s="78"/>
    </row>
    <row r="138" spans="6:17" x14ac:dyDescent="0.25">
      <c r="O138" s="78"/>
      <c r="P138" s="79"/>
      <c r="Q138" s="78"/>
    </row>
    <row r="139" spans="6:17" x14ac:dyDescent="0.25">
      <c r="O139" s="78"/>
      <c r="P139" s="79"/>
      <c r="Q139" s="78"/>
    </row>
    <row r="140" spans="6:17" x14ac:dyDescent="0.25">
      <c r="O140" s="78"/>
      <c r="P140" s="79"/>
      <c r="Q140" s="78"/>
    </row>
    <row r="141" spans="6:17" x14ac:dyDescent="0.25">
      <c r="O141" s="78"/>
      <c r="P141" s="79"/>
      <c r="Q141" s="78"/>
    </row>
    <row r="142" spans="6:17" x14ac:dyDescent="0.25">
      <c r="O142" s="78"/>
      <c r="P142" s="79"/>
      <c r="Q142" s="78"/>
    </row>
    <row r="143" spans="6:17" x14ac:dyDescent="0.25">
      <c r="O143" s="78"/>
      <c r="P143" s="79"/>
      <c r="Q143" s="78"/>
    </row>
    <row r="144" spans="6:17" x14ac:dyDescent="0.25">
      <c r="O144" s="78"/>
      <c r="P144" s="79"/>
      <c r="Q144" s="78"/>
    </row>
    <row r="145" spans="15:17" x14ac:dyDescent="0.25">
      <c r="O145" s="78"/>
      <c r="P145" s="79"/>
      <c r="Q145" s="78"/>
    </row>
    <row r="146" spans="15:17" x14ac:dyDescent="0.25">
      <c r="O146" s="78"/>
      <c r="P146" s="79"/>
      <c r="Q146" s="78"/>
    </row>
    <row r="147" spans="15:17" x14ac:dyDescent="0.25">
      <c r="O147" s="78"/>
      <c r="P147" s="79"/>
      <c r="Q147" s="78"/>
    </row>
    <row r="148" spans="15:17" x14ac:dyDescent="0.25">
      <c r="O148" s="78"/>
      <c r="P148" s="79"/>
      <c r="Q148" s="78"/>
    </row>
    <row r="149" spans="15:17" x14ac:dyDescent="0.25">
      <c r="O149" s="78"/>
      <c r="P149" s="79"/>
      <c r="Q149" s="78"/>
    </row>
    <row r="150" spans="15:17" x14ac:dyDescent="0.25">
      <c r="O150" s="78"/>
      <c r="P150" s="79"/>
      <c r="Q150" s="78"/>
    </row>
    <row r="151" spans="15:17" x14ac:dyDescent="0.25">
      <c r="O151" s="78"/>
      <c r="P151" s="79"/>
      <c r="Q151" s="78"/>
    </row>
    <row r="152" spans="15:17" x14ac:dyDescent="0.25">
      <c r="O152" s="78"/>
      <c r="P152" s="79"/>
      <c r="Q152" s="78"/>
    </row>
    <row r="153" spans="15:17" x14ac:dyDescent="0.25">
      <c r="O153" s="78"/>
      <c r="P153" s="79"/>
      <c r="Q153" s="78"/>
    </row>
    <row r="154" spans="15:17" x14ac:dyDescent="0.25">
      <c r="O154" s="78"/>
      <c r="P154" s="79"/>
      <c r="Q154" s="78"/>
    </row>
    <row r="155" spans="15:17" x14ac:dyDescent="0.25">
      <c r="O155" s="78"/>
      <c r="P155" s="79"/>
      <c r="Q155" s="78"/>
    </row>
    <row r="156" spans="15:17" x14ac:dyDescent="0.25">
      <c r="O156" s="78"/>
      <c r="P156" s="79"/>
      <c r="Q156" s="78"/>
    </row>
    <row r="157" spans="15:17" x14ac:dyDescent="0.25">
      <c r="O157" s="78"/>
      <c r="P157" s="79"/>
      <c r="Q157" s="78"/>
    </row>
    <row r="158" spans="15:17" x14ac:dyDescent="0.25">
      <c r="O158" s="78"/>
      <c r="P158" s="79"/>
      <c r="Q158" s="78"/>
    </row>
    <row r="159" spans="15:17" x14ac:dyDescent="0.25">
      <c r="O159" s="78"/>
      <c r="P159" s="79"/>
      <c r="Q159" s="78"/>
    </row>
    <row r="160" spans="15:17" x14ac:dyDescent="0.25">
      <c r="O160" s="78"/>
      <c r="P160" s="79"/>
      <c r="Q160" s="78"/>
    </row>
    <row r="161" spans="15:17" x14ac:dyDescent="0.25">
      <c r="O161" s="78"/>
      <c r="P161" s="79"/>
      <c r="Q161" s="78"/>
    </row>
    <row r="162" spans="15:17" x14ac:dyDescent="0.25">
      <c r="P162" s="79"/>
      <c r="Q162" s="78"/>
    </row>
    <row r="163" spans="15:17" x14ac:dyDescent="0.25">
      <c r="P163" s="79"/>
      <c r="Q163" s="78"/>
    </row>
    <row r="164" spans="15:17" x14ac:dyDescent="0.25">
      <c r="P164" s="79"/>
      <c r="Q164" s="78"/>
    </row>
    <row r="165" spans="15:17" x14ac:dyDescent="0.25">
      <c r="P165" s="79"/>
      <c r="Q165" s="78"/>
    </row>
    <row r="166" spans="15:17" x14ac:dyDescent="0.25">
      <c r="P166" s="79"/>
      <c r="Q166" s="78"/>
    </row>
    <row r="167" spans="15:17" x14ac:dyDescent="0.25">
      <c r="P167" s="79"/>
      <c r="Q167" s="78"/>
    </row>
    <row r="168" spans="15:17" x14ac:dyDescent="0.25">
      <c r="P168" s="79"/>
      <c r="Q168" s="78"/>
    </row>
    <row r="169" spans="15:17" x14ac:dyDescent="0.25">
      <c r="P169" s="79"/>
      <c r="Q169" s="78"/>
    </row>
    <row r="170" spans="15:17" x14ac:dyDescent="0.25">
      <c r="P170" s="79"/>
      <c r="Q170" s="78"/>
    </row>
    <row r="171" spans="15:17" x14ac:dyDescent="0.25">
      <c r="P171" s="79"/>
      <c r="Q171" s="78"/>
    </row>
    <row r="172" spans="15:17" x14ac:dyDescent="0.25">
      <c r="P172" s="79"/>
      <c r="Q172" s="78"/>
    </row>
    <row r="173" spans="15:17" x14ac:dyDescent="0.25">
      <c r="P173" s="79"/>
      <c r="Q173" s="78"/>
    </row>
    <row r="174" spans="15:17" x14ac:dyDescent="0.25">
      <c r="P174" s="79"/>
      <c r="Q174" s="78"/>
    </row>
    <row r="175" spans="15:17" x14ac:dyDescent="0.25">
      <c r="P175" s="79"/>
      <c r="Q175" s="78"/>
    </row>
    <row r="176" spans="15:17" x14ac:dyDescent="0.25">
      <c r="P176" s="79"/>
      <c r="Q176" s="78"/>
    </row>
    <row r="177" spans="16:16" x14ac:dyDescent="0.25">
      <c r="P177" s="79"/>
    </row>
    <row r="178" spans="16:16" x14ac:dyDescent="0.25">
      <c r="P178" s="79"/>
    </row>
    <row r="179" spans="16:16" x14ac:dyDescent="0.25">
      <c r="P179" s="79"/>
    </row>
    <row r="180" spans="16:16" x14ac:dyDescent="0.25">
      <c r="P180" s="79"/>
    </row>
    <row r="181" spans="16:16" x14ac:dyDescent="0.25">
      <c r="P181" s="79"/>
    </row>
    <row r="182" spans="16:16" x14ac:dyDescent="0.25">
      <c r="P182" s="79"/>
    </row>
    <row r="183" spans="16:16" x14ac:dyDescent="0.25">
      <c r="P183" s="79"/>
    </row>
    <row r="184" spans="16:16" x14ac:dyDescent="0.25">
      <c r="P184" s="79"/>
    </row>
    <row r="185" spans="16:16" x14ac:dyDescent="0.25">
      <c r="P185" s="79"/>
    </row>
  </sheetData>
  <autoFilter ref="B5:AD111" xr:uid="{00000000-0001-0000-0000-000000000000}">
    <filterColumn colId="16" showButton="0"/>
    <filterColumn colId="17" showButton="0"/>
    <filterColumn colId="18" showButton="0"/>
  </autoFilter>
  <mergeCells count="23">
    <mergeCell ref="F129:G129"/>
    <mergeCell ref="Q5:Q6"/>
    <mergeCell ref="R5:U5"/>
    <mergeCell ref="V5:V6"/>
    <mergeCell ref="AB5:AB6"/>
    <mergeCell ref="AC5:AC6"/>
    <mergeCell ref="AD5:AD6"/>
    <mergeCell ref="K5:K6"/>
    <mergeCell ref="L5:L6"/>
    <mergeCell ref="M5:M6"/>
    <mergeCell ref="N5:N6"/>
    <mergeCell ref="O5:O6"/>
    <mergeCell ref="P5:P6"/>
    <mergeCell ref="B1:U1"/>
    <mergeCell ref="B2:U2"/>
    <mergeCell ref="B3:U3"/>
    <mergeCell ref="A5:A6"/>
    <mergeCell ref="B5:B6"/>
    <mergeCell ref="F5:F6"/>
    <mergeCell ref="G5:G6"/>
    <mergeCell ref="H5:H6"/>
    <mergeCell ref="I5:I6"/>
    <mergeCell ref="J5:J6"/>
  </mergeCells>
  <conditionalFormatting sqref="B57:B64">
    <cfRule type="expression" dxfId="253" priority="102">
      <formula>$AA57="Salary Related"</formula>
    </cfRule>
    <cfRule type="expression" dxfId="254" priority="103">
      <formula>$AA57="NFR due to Poor Evaluation"</formula>
    </cfRule>
    <cfRule type="expression" dxfId="255" priority="104">
      <formula>$AA57="Retired"</formula>
    </cfRule>
    <cfRule type="expression" dxfId="256" priority="105">
      <formula>$AA57="NFR due to PEME"</formula>
    </cfRule>
    <cfRule type="expression" dxfId="257" priority="106">
      <formula>$AA57="Non Salary Related"</formula>
    </cfRule>
  </conditionalFormatting>
  <conditionalFormatting sqref="B81">
    <cfRule type="expression" dxfId="252" priority="27">
      <formula>$AA81="NFR due to Poor Evaluation"</formula>
    </cfRule>
    <cfRule type="expression" dxfId="251" priority="28">
      <formula>$AA81="Salary Related"</formula>
    </cfRule>
    <cfRule type="expression" dxfId="250" priority="29">
      <formula>$AA81="NFR due to PEME"</formula>
    </cfRule>
    <cfRule type="expression" dxfId="249" priority="30">
      <formula>$AA81="Non Salary Related"</formula>
    </cfRule>
  </conditionalFormatting>
  <conditionalFormatting sqref="B81:B82">
    <cfRule type="expression" dxfId="248" priority="26">
      <formula>$AA81="Retired"</formula>
    </cfRule>
  </conditionalFormatting>
  <conditionalFormatting sqref="B82:B127">
    <cfRule type="expression" dxfId="245" priority="240">
      <formula>$AA82="Salary Related"</formula>
    </cfRule>
    <cfRule type="expression" dxfId="246" priority="241">
      <formula>$AA82="NFR due to Poor Evaluation"</formula>
    </cfRule>
    <cfRule type="expression" dxfId="247" priority="242">
      <formula>$AA82="Retired"</formula>
    </cfRule>
  </conditionalFormatting>
  <conditionalFormatting sqref="B99:J127 B83:M83 B84:L98">
    <cfRule type="expression" dxfId="244" priority="223">
      <formula>$AA83="NFR due to PEME"</formula>
    </cfRule>
  </conditionalFormatting>
  <conditionalFormatting sqref="B84:L106 B83:M83">
    <cfRule type="expression" dxfId="243" priority="219">
      <formula>$AA83="Non Salary Related"</formula>
    </cfRule>
  </conditionalFormatting>
  <conditionalFormatting sqref="B107:L127">
    <cfRule type="expression" dxfId="242" priority="212">
      <formula>$AA107="Non Salary Related"</formula>
    </cfRule>
  </conditionalFormatting>
  <conditionalFormatting sqref="B72:M80 C83:K83 C84:L98">
    <cfRule type="expression" dxfId="241" priority="73">
      <formula>$AA72="Retired"</formula>
    </cfRule>
  </conditionalFormatting>
  <conditionalFormatting sqref="B7:U22 C57:F57 K57:K58 D58:E80 C84:L98">
    <cfRule type="expression" dxfId="240" priority="255">
      <formula>$AA7="Salary Related"</formula>
    </cfRule>
  </conditionalFormatting>
  <conditionalFormatting sqref="B7:U22 N23:U23 B23:L26 M24:U24 N25:U25 M26:U26 B27:U55 B56:K56 M56:U56 L56:L58 C57:J60">
    <cfRule type="expression" dxfId="239" priority="196">
      <formula>$AA7="Retired"</formula>
    </cfRule>
  </conditionalFormatting>
  <conditionalFormatting sqref="B7:U22 N23:U23 B23:L26 M24:U24 N25:U25 M26:U26 B27:U55 B56:K56 M56:U56 L56:L58 G57:G60 I57:J60">
    <cfRule type="expression" dxfId="238" priority="197">
      <formula>$AA7="NFR due to PEME"</formula>
    </cfRule>
  </conditionalFormatting>
  <conditionalFormatting sqref="B69:V71">
    <cfRule type="expression" dxfId="237" priority="88">
      <formula>$AA69="Retired"</formula>
    </cfRule>
  </conditionalFormatting>
  <conditionalFormatting sqref="C60 F60 H60 K60:L60">
    <cfRule type="expression" dxfId="236" priority="257">
      <formula>$AA60="Non Salary Related"</formula>
    </cfRule>
  </conditionalFormatting>
  <conditionalFormatting sqref="C61:C64 B65:C80 B82:E82 L130 B18:U19 B20:M21 B22:U22 B38:U43 N45:U46 B47:U55 M56:U56 B23:L26 M24:U24 M26:U26 B27:M31 N30:V30 B32:U33 B34:M35 B36:P37 B44:M46 B56:K56 L56:L58 G57:G60 I57:J60">
    <cfRule type="expression" dxfId="235" priority="259">
      <formula>$AA18="Non Salary Related"</formula>
    </cfRule>
  </conditionalFormatting>
  <conditionalFormatting sqref="C57:F57 K57:K58 D58:E80 H57:H58 C58 F58">
    <cfRule type="expression" dxfId="234" priority="256">
      <formula>$AA57="Non Salary Related"</formula>
    </cfRule>
  </conditionalFormatting>
  <conditionalFormatting sqref="C57:F60 H57:H60 K59:M60 K57:K58 C61:M64 B65:M68 B69:L71 B72:M73 B74:L74 B75:M80 M57:M58 B82:E82 K99:L127 L130 N99:U99 N106:U106">
    <cfRule type="expression" dxfId="233" priority="258">
      <formula>$AA57="NFR due to PEME"</formula>
    </cfRule>
  </conditionalFormatting>
  <conditionalFormatting sqref="C99:I127 C61:M64 C82:L82 K57:K58 K59:M60 B65:M68 L130">
    <cfRule type="expression" dxfId="232" priority="229">
      <formula>$AA57="Retired"</formula>
    </cfRule>
  </conditionalFormatting>
  <conditionalFormatting sqref="C81:M81 C83:M83 M84">
    <cfRule type="expression" dxfId="231" priority="239">
      <formula>$AA81="Salary Related"</formula>
    </cfRule>
  </conditionalFormatting>
  <conditionalFormatting sqref="C81:M81 L83:M83 M84">
    <cfRule type="expression" dxfId="230" priority="237">
      <formula>$AA81="Retired"</formula>
    </cfRule>
    <cfRule type="expression" dxfId="229" priority="238">
      <formula>$AA81="NFR due to Poor Evaluation"</formula>
    </cfRule>
  </conditionalFormatting>
  <conditionalFormatting sqref="C81:M81">
    <cfRule type="expression" dxfId="228" priority="236">
      <formula>$AA81="NFR due to PEME"</formula>
    </cfRule>
  </conditionalFormatting>
  <conditionalFormatting sqref="C81:U81">
    <cfRule type="expression" dxfId="227" priority="58">
      <formula>$AA81="Non Salary Related"</formula>
    </cfRule>
  </conditionalFormatting>
  <conditionalFormatting sqref="F38">
    <cfRule type="duplicateValues" dxfId="226" priority="163"/>
  </conditionalFormatting>
  <conditionalFormatting sqref="F61:M61 C61:C64 B65:C80 B82:L82 C99:I127 K99:L127 L130">
    <cfRule type="expression" dxfId="225" priority="231">
      <formula>$AA61="Salary Related"</formula>
    </cfRule>
  </conditionalFormatting>
  <conditionalFormatting sqref="F62:M68 F69:L71 F72:M73 F74:L74 F75:M80">
    <cfRule type="expression" dxfId="224" priority="243">
      <formula>$AA62="Non Salary Related"</formula>
    </cfRule>
  </conditionalFormatting>
  <conditionalFormatting sqref="F75:M80">
    <cfRule type="expression" dxfId="223" priority="244">
      <formula>$AA75="Salary Related"</formula>
    </cfRule>
  </conditionalFormatting>
  <conditionalFormatting sqref="F82:M82">
    <cfRule type="expression" dxfId="221" priority="51">
      <formula>$AA82="Non Salary Related"</formula>
    </cfRule>
    <cfRule type="expression" dxfId="222" priority="53">
      <formula>$AA82="NFR due to PEME"</formula>
    </cfRule>
  </conditionalFormatting>
  <conditionalFormatting sqref="F61:U61">
    <cfRule type="expression" dxfId="220" priority="120">
      <formula>$AA61="Non Salary Related"</formula>
    </cfRule>
  </conditionalFormatting>
  <conditionalFormatting sqref="H57:H60 M57:M60 C58:C60 F58:F60 K59:L60 F62:M68 F69:L71 F72:M73 F74:L74">
    <cfRule type="expression" dxfId="219" priority="246">
      <formula>$AA57="Salary Related"</formula>
    </cfRule>
  </conditionalFormatting>
  <conditionalFormatting sqref="H76">
    <cfRule type="expression" dxfId="218" priority="70">
      <formula>$AA76="Salary Related"</formula>
    </cfRule>
  </conditionalFormatting>
  <conditionalFormatting sqref="H78">
    <cfRule type="expression" dxfId="217" priority="64">
      <formula>$AA78="Salary Related"</formula>
    </cfRule>
  </conditionalFormatting>
  <conditionalFormatting sqref="H96">
    <cfRule type="expression" dxfId="216" priority="200">
      <formula>$AA96="NFR due to PEME"</formula>
    </cfRule>
    <cfRule type="expression" dxfId="215" priority="201">
      <formula>$AA96="Non Salary Related"</formula>
    </cfRule>
    <cfRule type="expression" dxfId="214" priority="202">
      <formula>$AA96="NFR due to PEME"</formula>
    </cfRule>
  </conditionalFormatting>
  <conditionalFormatting sqref="H101:H102">
    <cfRule type="expression" dxfId="213" priority="217">
      <formula>$AA101="NFR due to PEME"</formula>
    </cfRule>
    <cfRule type="expression" dxfId="212" priority="218">
      <formula>$AA101="Non Salary Related"</formula>
    </cfRule>
  </conditionalFormatting>
  <conditionalFormatting sqref="H102">
    <cfRule type="expression" dxfId="210" priority="203">
      <formula>$AA102="NFR due to PEME"</formula>
    </cfRule>
    <cfRule type="expression" dxfId="211" priority="204">
      <formula>$AA102="Non Salary Related"</formula>
    </cfRule>
  </conditionalFormatting>
  <conditionalFormatting sqref="H105:H106">
    <cfRule type="expression" dxfId="209" priority="205">
      <formula>$AA105="NFR due to PEME"</formula>
    </cfRule>
    <cfRule type="expression" dxfId="207" priority="206">
      <formula>$AA105="Non Salary Related"</formula>
    </cfRule>
    <cfRule type="expression" dxfId="208" priority="213">
      <formula>$AA105="NFR due to PEME"</formula>
    </cfRule>
    <cfRule type="expression" dxfId="206" priority="214">
      <formula>$AA105="Non Salary Related"</formula>
    </cfRule>
  </conditionalFormatting>
  <conditionalFormatting sqref="H109:H127">
    <cfRule type="expression" dxfId="205" priority="207">
      <formula>$AA109="NFR due to PEME"</formula>
    </cfRule>
    <cfRule type="expression" dxfId="204" priority="208">
      <formula>$AA109="Non Salary Related"</formula>
    </cfRule>
  </conditionalFormatting>
  <conditionalFormatting sqref="H129 F129:F134">
    <cfRule type="expression" dxfId="199" priority="250">
      <formula>#REF!="Non Salary Related"</formula>
    </cfRule>
    <cfRule type="expression" dxfId="203" priority="251">
      <formula>#REF!="Salary Related"</formula>
    </cfRule>
    <cfRule type="expression" dxfId="202" priority="252">
      <formula>#REF!="NFR due to Poor Evaluation"</formula>
    </cfRule>
    <cfRule type="expression" dxfId="201" priority="253">
      <formula>#REF!="Retired"</formula>
    </cfRule>
    <cfRule type="expression" dxfId="200" priority="254">
      <formula>#REF!="NFR due to PEME"</formula>
    </cfRule>
  </conditionalFormatting>
  <conditionalFormatting sqref="I101">
    <cfRule type="expression" dxfId="197" priority="215">
      <formula>$AA101="NFR due to PEME"</formula>
    </cfRule>
    <cfRule type="expression" dxfId="198" priority="216">
      <formula>$AA101="Non Salary Related"</formula>
    </cfRule>
  </conditionalFormatting>
  <conditionalFormatting sqref="J99:J127">
    <cfRule type="expression" dxfId="196" priority="220">
      <formula>$AA99="Salary Related"</formula>
    </cfRule>
    <cfRule type="expression" dxfId="195" priority="221">
      <formula>$AA99="NFR due to Poor Evaluation"</formula>
    </cfRule>
  </conditionalFormatting>
  <conditionalFormatting sqref="J99:L127">
    <cfRule type="expression" dxfId="194" priority="222">
      <formula>$AA99="Retired"</formula>
    </cfRule>
  </conditionalFormatting>
  <conditionalFormatting sqref="K40">
    <cfRule type="duplicateValues" dxfId="193" priority="164"/>
  </conditionalFormatting>
  <conditionalFormatting sqref="K57:K58 K59:M60 C61:M64 B65:M68 B82:L82 C99:I127 L130 K99:L127 C83:K83 C84:L98 C57:F60 H57:H60 B69:L71 B75:M80 B72:M73 B74:L74">
    <cfRule type="expression" dxfId="192" priority="230">
      <formula>$AA57="NFR due to Poor Evaluation"</formula>
    </cfRule>
  </conditionalFormatting>
  <conditionalFormatting sqref="L83">
    <cfRule type="expression" dxfId="191" priority="35">
      <formula>$AA83="Non Salary Related"</formula>
    </cfRule>
    <cfRule type="expression" dxfId="190" priority="36">
      <formula>$AA83="NFR due to PEME"</formula>
    </cfRule>
    <cfRule type="expression" dxfId="189" priority="37">
      <formula>$AA83="Non Salary Related"</formula>
    </cfRule>
    <cfRule type="expression" dxfId="188" priority="38">
      <formula>$AA83="NFR due to PEME"</formula>
    </cfRule>
  </conditionalFormatting>
  <conditionalFormatting sqref="M23">
    <cfRule type="expression" dxfId="186" priority="181">
      <formula>$AA23="Salary Related"</formula>
    </cfRule>
    <cfRule type="expression" dxfId="185" priority="182">
      <formula>$AA23="NFR due to Poor Evaluation"</formula>
    </cfRule>
    <cfRule type="expression" dxfId="184" priority="183">
      <formula>$AA23="Retired"</formula>
    </cfRule>
    <cfRule type="expression" dxfId="187" priority="184">
      <formula>$AA23="NFR due to PEME"</formula>
    </cfRule>
  </conditionalFormatting>
  <conditionalFormatting sqref="M25">
    <cfRule type="expression" dxfId="180" priority="175">
      <formula>$AA25="Salary Related"</formula>
    </cfRule>
    <cfRule type="expression" dxfId="183" priority="176">
      <formula>$AA25="NFR due to Poor Evaluation"</formula>
    </cfRule>
    <cfRule type="expression" dxfId="182" priority="177">
      <formula>$AA25="Retired"</formula>
    </cfRule>
    <cfRule type="expression" dxfId="181" priority="178">
      <formula>$AA25="NFR due to PEME"</formula>
    </cfRule>
  </conditionalFormatting>
  <conditionalFormatting sqref="M57:M60 C59 F59 H59 K59:L59 B7:M17">
    <cfRule type="expression" dxfId="179" priority="245">
      <formula>$AA7="Non Salary Related"</formula>
    </cfRule>
  </conditionalFormatting>
  <conditionalFormatting sqref="M57:M60">
    <cfRule type="expression" dxfId="178" priority="247">
      <formula>$AA57="NFR due to Poor Evaluation"</formula>
    </cfRule>
    <cfRule type="expression" dxfId="177" priority="248">
      <formula>$AA57="Retired"</formula>
    </cfRule>
  </conditionalFormatting>
  <conditionalFormatting sqref="M64">
    <cfRule type="expression" dxfId="176" priority="108">
      <formula>$AA64="NFR due to Poor Evaluation"</formula>
    </cfRule>
    <cfRule type="expression" dxfId="175" priority="109">
      <formula>$AA64="Retired"</formula>
    </cfRule>
  </conditionalFormatting>
  <conditionalFormatting sqref="M74:M75">
    <cfRule type="expression" dxfId="173" priority="71">
      <formula>$AA74="Salary Related"</formula>
    </cfRule>
    <cfRule type="expression" dxfId="172" priority="72">
      <formula>$AA74="NFR due to Poor Evaluation"</formula>
    </cfRule>
    <cfRule type="expression" dxfId="171" priority="74">
      <formula>$AA74="NFR due to PEME"</formula>
    </cfRule>
    <cfRule type="expression" dxfId="174" priority="75">
      <formula>$AA74="Non Salary Related"</formula>
    </cfRule>
  </conditionalFormatting>
  <conditionalFormatting sqref="M82">
    <cfRule type="expression" dxfId="169" priority="49">
      <formula>$AA82="Retired"</formula>
    </cfRule>
    <cfRule type="expression" dxfId="170" priority="50">
      <formula>$AA82="NFR due to Poor Evaluation"</formula>
    </cfRule>
    <cfRule type="expression" dxfId="168" priority="52">
      <formula>$AA82="Salary Related"</formula>
    </cfRule>
  </conditionalFormatting>
  <conditionalFormatting sqref="M84">
    <cfRule type="expression" dxfId="167" priority="34">
      <formula>$AA84="NFR due to PEME"</formula>
    </cfRule>
  </conditionalFormatting>
  <conditionalFormatting sqref="M85">
    <cfRule type="expression" dxfId="165" priority="21">
      <formula>$AA85="NFR due to Poor Evaluation"</formula>
    </cfRule>
    <cfRule type="expression" dxfId="166" priority="25">
      <formula>$AA85="NFR due to PEME"</formula>
    </cfRule>
  </conditionalFormatting>
  <conditionalFormatting sqref="M85:M127">
    <cfRule type="expression" dxfId="163" priority="22">
      <formula>$AA85="Non Salary Related"</formula>
    </cfRule>
    <cfRule type="expression" dxfId="164" priority="23">
      <formula>$AA85="Salary Related"</formula>
    </cfRule>
  </conditionalFormatting>
  <conditionalFormatting sqref="M86:M127">
    <cfRule type="expression" dxfId="161" priority="233">
      <formula>$AA86="NFR due to Poor Evaluation"</formula>
    </cfRule>
    <cfRule type="expression" dxfId="160" priority="234">
      <formula>$AA86="Retired"</formula>
    </cfRule>
    <cfRule type="expression" dxfId="162" priority="235">
      <formula>$AA86="NFR due to PEME"</formula>
    </cfRule>
  </conditionalFormatting>
  <conditionalFormatting sqref="M64:U64">
    <cfRule type="expression" dxfId="159" priority="107">
      <formula>$AA64="Non Salary Related"</formula>
    </cfRule>
  </conditionalFormatting>
  <conditionalFormatting sqref="M69:U71">
    <cfRule type="expression" dxfId="158" priority="90">
      <formula>$AA69="Non Salary Related"</formula>
    </cfRule>
  </conditionalFormatting>
  <conditionalFormatting sqref="M77:U80">
    <cfRule type="expression" dxfId="157" priority="63">
      <formula>$AA77="Non Salary Related"</formula>
    </cfRule>
  </conditionalFormatting>
  <conditionalFormatting sqref="M82:U82">
    <cfRule type="expression" dxfId="156" priority="44">
      <formula>$AA82="Salary Related"</formula>
    </cfRule>
    <cfRule type="expression" dxfId="155" priority="45">
      <formula>$AA82="NFR due to Poor Evaluation"</formula>
    </cfRule>
    <cfRule type="expression" dxfId="154" priority="47">
      <formula>$AA82="NFR due to PEME"</formula>
    </cfRule>
    <cfRule type="expression" dxfId="153" priority="48">
      <formula>$AA82="Non Salary Related"</formula>
    </cfRule>
  </conditionalFormatting>
  <conditionalFormatting sqref="M84:U84">
    <cfRule type="expression" dxfId="152" priority="33">
      <formula>$AA84="Non Salary Related"</formula>
    </cfRule>
  </conditionalFormatting>
  <conditionalFormatting sqref="M85:U85">
    <cfRule type="expression" dxfId="151" priority="18">
      <formula>$AA85="Retired"</formula>
    </cfRule>
  </conditionalFormatting>
  <conditionalFormatting sqref="M23:V23">
    <cfRule type="expression" dxfId="150" priority="185">
      <formula>$AA23="Non Salary Related"</formula>
    </cfRule>
  </conditionalFormatting>
  <conditionalFormatting sqref="M25:V25">
    <cfRule type="expression" dxfId="149" priority="179">
      <formula>$AA25="Non Salary Related"</formula>
    </cfRule>
  </conditionalFormatting>
  <conditionalFormatting sqref="M69:V71">
    <cfRule type="expression" dxfId="146" priority="86">
      <formula>$AA69="Salary Related"</formula>
    </cfRule>
    <cfRule type="expression" dxfId="147" priority="87">
      <formula>$AA69="NFR due to Poor Evaluation"</formula>
    </cfRule>
    <cfRule type="expression" dxfId="148" priority="89">
      <formula>$AA69="NFR due to PEME"</formula>
    </cfRule>
  </conditionalFormatting>
  <conditionalFormatting sqref="M77:V80">
    <cfRule type="expression" dxfId="143" priority="59">
      <formula>$AA77="Salary Related"</formula>
    </cfRule>
    <cfRule type="expression" dxfId="144" priority="60">
      <formula>$AA77="NFR due to Poor Evaluation"</formula>
    </cfRule>
    <cfRule type="expression" dxfId="145" priority="62">
      <formula>$AA77="NFR due to PEME"</formula>
    </cfRule>
  </conditionalFormatting>
  <conditionalFormatting sqref="N22 Q22:V22">
    <cfRule type="expression" dxfId="142" priority="186">
      <formula>$AA22="Non Salary Related"</formula>
    </cfRule>
  </conditionalFormatting>
  <conditionalFormatting sqref="N24 Q24:V24">
    <cfRule type="expression" dxfId="141" priority="180">
      <formula>$AA24="Non Salary Related"</formula>
    </cfRule>
  </conditionalFormatting>
  <conditionalFormatting sqref="N26 Q26:V26">
    <cfRule type="expression" dxfId="140" priority="174">
      <formula>$AA26="Non Salary Related"</formula>
    </cfRule>
  </conditionalFormatting>
  <conditionalFormatting sqref="N30 Q30:U30">
    <cfRule type="expression" dxfId="139" priority="172">
      <formula>$AA30="Non Salary Related"</formula>
    </cfRule>
  </conditionalFormatting>
  <conditionalFormatting sqref="N36:N37">
    <cfRule type="expression" dxfId="138" priority="166">
      <formula>$AA36="Non Salary Related"</formula>
    </cfRule>
  </conditionalFormatting>
  <conditionalFormatting sqref="N7:U15">
    <cfRule type="expression" dxfId="137" priority="198">
      <formula>$AA7="Non Salary Related"</formula>
    </cfRule>
  </conditionalFormatting>
  <conditionalFormatting sqref="N23:U23 B23:L26 M24:U24 N25:U25 M26:U26 B27:U55 B56:K56 M56:U56 L56:L58 G57:G60 I57:J60 B7:U22">
    <cfRule type="expression" dxfId="136" priority="195">
      <formula>$AA7="NFR due to Poor Evaluation"</formula>
    </cfRule>
  </conditionalFormatting>
  <conditionalFormatting sqref="N23:U23 M24:U24 N25:U25 M26:U26 B27:U55 B23:L26 B56:K56 M56:U56 L56:L58 G57:G60 I57:J60">
    <cfRule type="expression" dxfId="135" priority="194">
      <formula>$AA23="Salary Related"</formula>
    </cfRule>
  </conditionalFormatting>
  <conditionalFormatting sqref="N53:U53">
    <cfRule type="expression" dxfId="134" priority="127">
      <formula>$AA53="Non Salary Related"</formula>
    </cfRule>
  </conditionalFormatting>
  <conditionalFormatting sqref="N57:U60">
    <cfRule type="expression" dxfId="133" priority="121">
      <formula>$AA57="Non Salary Related"</formula>
    </cfRule>
  </conditionalFormatting>
  <conditionalFormatting sqref="N57:U63">
    <cfRule type="expression" dxfId="129" priority="115">
      <formula>$AA57="Salary Related"</formula>
    </cfRule>
    <cfRule type="expression" dxfId="132" priority="116">
      <formula>$AA57="NFR due to Poor Evaluation"</formula>
    </cfRule>
    <cfRule type="expression" dxfId="131" priority="117">
      <formula>$AA57="Retired"</formula>
    </cfRule>
    <cfRule type="expression" dxfId="130" priority="118">
      <formula>$AA57="NFR due to PEME"</formula>
    </cfRule>
  </conditionalFormatting>
  <conditionalFormatting sqref="N62:U63">
    <cfRule type="expression" dxfId="128" priority="119">
      <formula>$AA62="Non Salary Related"</formula>
    </cfRule>
  </conditionalFormatting>
  <conditionalFormatting sqref="N65:U68">
    <cfRule type="expression" dxfId="127" priority="96">
      <formula>$AA65="Non Salary Related"</formula>
    </cfRule>
  </conditionalFormatting>
  <conditionalFormatting sqref="N72:U72">
    <cfRule type="expression" dxfId="126" priority="85">
      <formula>$AA72="Non Salary Related"</formula>
    </cfRule>
  </conditionalFormatting>
  <conditionalFormatting sqref="N73:U76">
    <cfRule type="expression" dxfId="125" priority="69">
      <formula>$AA73="Non Salary Related"</formula>
    </cfRule>
  </conditionalFormatting>
  <conditionalFormatting sqref="N82:U82">
    <cfRule type="expression" dxfId="124" priority="46">
      <formula>$AA82="Retired"</formula>
    </cfRule>
  </conditionalFormatting>
  <conditionalFormatting sqref="N83:U83">
    <cfRule type="expression" dxfId="119" priority="39">
      <formula>$AA83="Salary Related"</formula>
    </cfRule>
    <cfRule type="expression" dxfId="121" priority="40">
      <formula>$AA83="NFR due to Poor Evaluation"</formula>
    </cfRule>
    <cfRule type="expression" dxfId="120" priority="41">
      <formula>$AA83="Retired"</formula>
    </cfRule>
    <cfRule type="expression" dxfId="122" priority="42">
      <formula>$AA83="NFR due to PEME"</formula>
    </cfRule>
    <cfRule type="expression" dxfId="123" priority="43">
      <formula>$AA83="Non Salary Related"</formula>
    </cfRule>
  </conditionalFormatting>
  <conditionalFormatting sqref="N85:U85">
    <cfRule type="expression" dxfId="118" priority="19">
      <formula>$AA85="NFR due to PEME"</formula>
    </cfRule>
  </conditionalFormatting>
  <conditionalFormatting sqref="N86:U90">
    <cfRule type="expression" dxfId="117" priority="11">
      <formula>$AA86="Retired"</formula>
    </cfRule>
    <cfRule type="expression" dxfId="116" priority="12">
      <formula>$AA86="NFR due to PEME"</formula>
    </cfRule>
    <cfRule type="expression" dxfId="115" priority="13">
      <formula>$AA86="Non Salary Related"</formula>
    </cfRule>
  </conditionalFormatting>
  <conditionalFormatting sqref="N91:U91">
    <cfRule type="expression" dxfId="114" priority="10">
      <formula>$AA91="Non Salary Related"</formula>
    </cfRule>
  </conditionalFormatting>
  <conditionalFormatting sqref="N92:U92">
    <cfRule type="expression" dxfId="109" priority="1">
      <formula>$AA92="Salary Related"</formula>
    </cfRule>
    <cfRule type="expression" dxfId="110" priority="2">
      <formula>$AA92="NFR due to Poor Evaluation"</formula>
    </cfRule>
    <cfRule type="expression" dxfId="112" priority="3">
      <formula>$AA92="Retired"</formula>
    </cfRule>
    <cfRule type="expression" dxfId="113" priority="4">
      <formula>$AA92="NFR due to PEME"</formula>
    </cfRule>
    <cfRule type="expression" dxfId="111" priority="5">
      <formula>$AA92="Non Salary Related"</formula>
    </cfRule>
  </conditionalFormatting>
  <conditionalFormatting sqref="N93:U98">
    <cfRule type="expression" dxfId="108" priority="227">
      <formula>$AA93="NFR due to PEME"</formula>
    </cfRule>
    <cfRule type="expression" dxfId="107" priority="232">
      <formula>$AA93="Non Salary Related"</formula>
    </cfRule>
  </conditionalFormatting>
  <conditionalFormatting sqref="N93:U127">
    <cfRule type="expression" dxfId="104" priority="224">
      <formula>$AA93="Salary Related"</formula>
    </cfRule>
    <cfRule type="expression" dxfId="106" priority="225">
      <formula>$AA93="NFR due to Poor Evaluation"</formula>
    </cfRule>
    <cfRule type="expression" dxfId="105" priority="226">
      <formula>$AA93="Retired"</formula>
    </cfRule>
  </conditionalFormatting>
  <conditionalFormatting sqref="N99:U127">
    <cfRule type="expression" dxfId="103" priority="211">
      <formula>$AA99="Non Salary Related"</formula>
    </cfRule>
  </conditionalFormatting>
  <conditionalFormatting sqref="N100:U127">
    <cfRule type="expression" dxfId="102" priority="210">
      <formula>$AA100="NFR due to PEME"</formula>
    </cfRule>
  </conditionalFormatting>
  <conditionalFormatting sqref="N108:U108">
    <cfRule type="expression" dxfId="101" priority="209">
      <formula>$AA108="Non Salary Related"</formula>
    </cfRule>
  </conditionalFormatting>
  <conditionalFormatting sqref="N16:V17 Q18:V19 N18:N19">
    <cfRule type="expression" dxfId="100" priority="192">
      <formula>$AA16="Non Salary Related"</formula>
    </cfRule>
  </conditionalFormatting>
  <conditionalFormatting sqref="N20:V21">
    <cfRule type="expression" dxfId="99" priority="187">
      <formula>$AA20="Non Salary Related"</formula>
    </cfRule>
  </conditionalFormatting>
  <conditionalFormatting sqref="N27:V29">
    <cfRule type="expression" dxfId="98" priority="173">
      <formula>$AA27="Non Salary Related"</formula>
    </cfRule>
  </conditionalFormatting>
  <conditionalFormatting sqref="N31:V35">
    <cfRule type="expression" dxfId="97" priority="167">
      <formula>$AA31="Non Salary Related"</formula>
    </cfRule>
  </conditionalFormatting>
  <conditionalFormatting sqref="N41:V41">
    <cfRule type="expression" dxfId="96" priority="148">
      <formula>$AA41="Non Salary Related"</formula>
    </cfRule>
  </conditionalFormatting>
  <conditionalFormatting sqref="N44:V44">
    <cfRule type="expression" dxfId="95" priority="138">
      <formula>$AA44="Non Salary Related"</formula>
    </cfRule>
  </conditionalFormatting>
  <conditionalFormatting sqref="N46:V46">
    <cfRule type="expression" dxfId="94" priority="128">
      <formula>$AA46="Non Salary Related"</formula>
    </cfRule>
  </conditionalFormatting>
  <conditionalFormatting sqref="N55:V55">
    <cfRule type="expression" dxfId="93" priority="122">
      <formula>$AA55="Non Salary Related"</formula>
    </cfRule>
  </conditionalFormatting>
  <conditionalFormatting sqref="N63:V63">
    <cfRule type="expression" dxfId="92" priority="110">
      <formula>$AA63="Non Salary Related"</formula>
    </cfRule>
  </conditionalFormatting>
  <conditionalFormatting sqref="N64:V68">
    <cfRule type="expression" dxfId="89" priority="92">
      <formula>$AA64="Salary Related"</formula>
    </cfRule>
    <cfRule type="expression" dxfId="91" priority="93">
      <formula>$AA64="NFR due to Poor Evaluation"</formula>
    </cfRule>
    <cfRule type="expression" dxfId="88" priority="94">
      <formula>$AA64="Retired"</formula>
    </cfRule>
    <cfRule type="expression" dxfId="90" priority="95">
      <formula>$AA64="NFR due to PEME"</formula>
    </cfRule>
  </conditionalFormatting>
  <conditionalFormatting sqref="N72:V72">
    <cfRule type="expression" dxfId="87" priority="81">
      <formula>$AA72="Salary Related"</formula>
    </cfRule>
    <cfRule type="expression" dxfId="86" priority="82">
      <formula>$AA72="NFR due to Poor Evaluation"</formula>
    </cfRule>
    <cfRule type="expression" dxfId="85" priority="83">
      <formula>$AA72="Retired"</formula>
    </cfRule>
    <cfRule type="expression" dxfId="84" priority="84">
      <formula>$AA72="NFR due to PEME"</formula>
    </cfRule>
  </conditionalFormatting>
  <conditionalFormatting sqref="N73:V76">
    <cfRule type="expression" dxfId="82" priority="65">
      <formula>$AA73="Salary Related"</formula>
    </cfRule>
    <cfRule type="expression" dxfId="80" priority="66">
      <formula>$AA73="NFR due to Poor Evaluation"</formula>
    </cfRule>
    <cfRule type="expression" dxfId="81" priority="67">
      <formula>$AA73="Retired"</formula>
    </cfRule>
    <cfRule type="expression" dxfId="83" priority="68">
      <formula>$AA73="NFR due to PEME"</formula>
    </cfRule>
  </conditionalFormatting>
  <conditionalFormatting sqref="N77:V80">
    <cfRule type="expression" dxfId="79" priority="61">
      <formula>$AA77="Retired"</formula>
    </cfRule>
  </conditionalFormatting>
  <conditionalFormatting sqref="N81:V81">
    <cfRule type="expression" dxfId="76" priority="54">
      <formula>$AA81="Salary Related"</formula>
    </cfRule>
    <cfRule type="expression" dxfId="75" priority="55">
      <formula>$AA81="NFR due to Poor Evaluation"</formula>
    </cfRule>
    <cfRule type="expression" dxfId="78" priority="56">
      <formula>$AA81="Retired"</formula>
    </cfRule>
    <cfRule type="expression" dxfId="77" priority="57">
      <formula>$AA81="NFR due to PEME"</formula>
    </cfRule>
  </conditionalFormatting>
  <conditionalFormatting sqref="N84:V84">
    <cfRule type="expression" dxfId="74" priority="31">
      <formula>$AA84="Retired"</formula>
    </cfRule>
    <cfRule type="expression" dxfId="73" priority="32">
      <formula>$AA84="NFR due to PEME"</formula>
    </cfRule>
  </conditionalFormatting>
  <conditionalFormatting sqref="N84:V91">
    <cfRule type="expression" dxfId="71" priority="6">
      <formula>$AA84="Salary Related"</formula>
    </cfRule>
    <cfRule type="expression" dxfId="72" priority="7">
      <formula>$AA84="NFR due to Poor Evaluation"</formula>
    </cfRule>
  </conditionalFormatting>
  <conditionalFormatting sqref="N85:V85">
    <cfRule type="expression" dxfId="70" priority="20">
      <formula>$AA85="Non Salary Related"</formula>
    </cfRule>
  </conditionalFormatting>
  <conditionalFormatting sqref="N91:V91">
    <cfRule type="expression" dxfId="68" priority="8">
      <formula>$AA91="Retired"</formula>
    </cfRule>
    <cfRule type="expression" dxfId="69" priority="9">
      <formula>$AA91="NFR due to PEME"</formula>
    </cfRule>
  </conditionalFormatting>
  <conditionalFormatting sqref="Q7:Q127">
    <cfRule type="cellIs" priority="199" operator="greaterThanOrEqual">
      <formula>0</formula>
    </cfRule>
  </conditionalFormatting>
  <conditionalFormatting sqref="Q38:Q40 Q42:Q43 Q45 Q47:Q52 Q54 Q56:Q62">
    <cfRule type="cellIs" dxfId="67" priority="249" operator="lessThan">
      <formula>0</formula>
    </cfRule>
  </conditionalFormatting>
  <conditionalFormatting sqref="Q85">
    <cfRule type="cellIs" dxfId="66" priority="24" operator="lessThan">
      <formula>0</formula>
    </cfRule>
  </conditionalFormatting>
  <conditionalFormatting sqref="Q86:Q127 Q64:Q84">
    <cfRule type="cellIs" dxfId="65" priority="228" operator="lessThan">
      <formula>0</formula>
    </cfRule>
  </conditionalFormatting>
  <conditionalFormatting sqref="Q36:V36 Q37:U37">
    <cfRule type="expression" dxfId="64" priority="165">
      <formula>$AA36="Non Salary Related"</formula>
    </cfRule>
  </conditionalFormatting>
  <conditionalFormatting sqref="V16:V29">
    <cfRule type="expression" dxfId="63" priority="188">
      <formula>$AA16="Salary Related"</formula>
    </cfRule>
    <cfRule type="expression" dxfId="60" priority="189">
      <formula>$AA16="NFR due to Poor Evaluation"</formula>
    </cfRule>
    <cfRule type="expression" dxfId="62" priority="190">
      <formula>$AA16="Retired"</formula>
    </cfRule>
    <cfRule type="expression" dxfId="61" priority="191">
      <formula>$AA16="NFR due to PEME"</formula>
    </cfRule>
  </conditionalFormatting>
  <conditionalFormatting sqref="V30:V36">
    <cfRule type="expression" dxfId="56" priority="168">
      <formula>$AA30="Salary Related"</formula>
    </cfRule>
    <cfRule type="expression" dxfId="57" priority="169">
      <formula>$AA30="NFR due to Poor Evaluation"</formula>
    </cfRule>
    <cfRule type="expression" dxfId="59" priority="170">
      <formula>$AA30="Retired"</formula>
    </cfRule>
    <cfRule type="expression" dxfId="58" priority="171">
      <formula>$AA30="NFR due to PEME"</formula>
    </cfRule>
  </conditionalFormatting>
  <conditionalFormatting sqref="V37">
    <cfRule type="expression" dxfId="55" priority="158">
      <formula>$AA37="Non Salary Related"</formula>
    </cfRule>
  </conditionalFormatting>
  <conditionalFormatting sqref="V37:V39">
    <cfRule type="expression" dxfId="54" priority="159">
      <formula>$AA37="Salary Related"</formula>
    </cfRule>
    <cfRule type="expression" dxfId="53" priority="160">
      <formula>$AA37="NFR due to Poor Evaluation"</formula>
    </cfRule>
    <cfRule type="expression" dxfId="51" priority="161">
      <formula>$AA37="Retired"</formula>
    </cfRule>
    <cfRule type="expression" dxfId="52" priority="162">
      <formula>$AA37="NFR due to PEME"</formula>
    </cfRule>
  </conditionalFormatting>
  <conditionalFormatting sqref="V38:V39 V43 V45 V49:V54 V56:V62 V64:V67">
    <cfRule type="expression" dxfId="50" priority="193">
      <formula>$AA38="Non Salary Related"</formula>
    </cfRule>
  </conditionalFormatting>
  <conditionalFormatting sqref="V40">
    <cfRule type="expression" dxfId="46" priority="153">
      <formula>$AA40="Non Salary Related"</formula>
    </cfRule>
    <cfRule type="expression" dxfId="45" priority="154">
      <formula>$AA40="Salary Related"</formula>
    </cfRule>
    <cfRule type="expression" dxfId="47" priority="155">
      <formula>$AA40="NFR due to Poor Evaluation"</formula>
    </cfRule>
    <cfRule type="expression" dxfId="48" priority="156">
      <formula>$AA40="Retired"</formula>
    </cfRule>
    <cfRule type="expression" dxfId="49" priority="157">
      <formula>$AA40="NFR due to PEME"</formula>
    </cfRule>
  </conditionalFormatting>
  <conditionalFormatting sqref="V41">
    <cfRule type="expression" dxfId="41" priority="149">
      <formula>$AA41="Salary Related"</formula>
    </cfRule>
    <cfRule type="expression" dxfId="42" priority="150">
      <formula>$AA41="NFR due to Poor Evaluation"</formula>
    </cfRule>
    <cfRule type="expression" dxfId="43" priority="151">
      <formula>$AA41="Retired"</formula>
    </cfRule>
    <cfRule type="expression" dxfId="44" priority="152">
      <formula>$AA41="NFR due to PEME"</formula>
    </cfRule>
  </conditionalFormatting>
  <conditionalFormatting sqref="V42">
    <cfRule type="expression" dxfId="40" priority="143">
      <formula>$AA42="Non Salary Related"</formula>
    </cfRule>
  </conditionalFormatting>
  <conditionalFormatting sqref="V42:V43">
    <cfRule type="expression" dxfId="37" priority="144">
      <formula>$AA42="Salary Related"</formula>
    </cfRule>
    <cfRule type="expression" dxfId="36" priority="145">
      <formula>$AA42="NFR due to Poor Evaluation"</formula>
    </cfRule>
    <cfRule type="expression" dxfId="39" priority="146">
      <formula>$AA42="Retired"</formula>
    </cfRule>
    <cfRule type="expression" dxfId="38" priority="147">
      <formula>$AA42="NFR due to PEME"</formula>
    </cfRule>
  </conditionalFormatting>
  <conditionalFormatting sqref="V44:V45">
    <cfRule type="expression" dxfId="34" priority="139">
      <formula>$AA44="Salary Related"</formula>
    </cfRule>
    <cfRule type="expression" dxfId="33" priority="140">
      <formula>$AA44="NFR due to Poor Evaluation"</formula>
    </cfRule>
    <cfRule type="expression" dxfId="35" priority="141">
      <formula>$AA44="Retired"</formula>
    </cfRule>
    <cfRule type="expression" dxfId="32" priority="142">
      <formula>$AA44="NFR due to PEME"</formula>
    </cfRule>
  </conditionalFormatting>
  <conditionalFormatting sqref="V46">
    <cfRule type="expression" dxfId="31" priority="129">
      <formula>$AA46="Salary Related"</formula>
    </cfRule>
    <cfRule type="expression" dxfId="29" priority="130">
      <formula>$AA46="NFR due to Poor Evaluation"</formula>
    </cfRule>
    <cfRule type="expression" dxfId="28" priority="131">
      <formula>$AA46="Retired"</formula>
    </cfRule>
    <cfRule type="expression" dxfId="30" priority="132">
      <formula>$AA46="NFR due to PEME"</formula>
    </cfRule>
  </conditionalFormatting>
  <conditionalFormatting sqref="V47:V48">
    <cfRule type="expression" dxfId="27" priority="133">
      <formula>$AA47="Non Salary Related"</formula>
    </cfRule>
  </conditionalFormatting>
  <conditionalFormatting sqref="V47:V53">
    <cfRule type="expression" dxfId="23" priority="134">
      <formula>$AA47="Salary Related"</formula>
    </cfRule>
    <cfRule type="expression" dxfId="24" priority="135">
      <formula>$AA47="NFR due to Poor Evaluation"</formula>
    </cfRule>
    <cfRule type="expression" dxfId="25" priority="136">
      <formula>$AA47="Retired"</formula>
    </cfRule>
    <cfRule type="expression" dxfId="26" priority="137">
      <formula>$AA47="NFR due to PEME"</formula>
    </cfRule>
  </conditionalFormatting>
  <conditionalFormatting sqref="V54:V55">
    <cfRule type="expression" dxfId="21" priority="123">
      <formula>$AA54="Salary Related"</formula>
    </cfRule>
    <cfRule type="expression" dxfId="22" priority="124">
      <formula>$AA54="NFR due to Poor Evaluation"</formula>
    </cfRule>
    <cfRule type="expression" dxfId="20" priority="125">
      <formula>$AA54="Retired"</formula>
    </cfRule>
    <cfRule type="expression" dxfId="19" priority="126">
      <formula>$AA54="NFR due to PEME"</formula>
    </cfRule>
  </conditionalFormatting>
  <conditionalFormatting sqref="V56:V63">
    <cfRule type="expression" dxfId="15" priority="111">
      <formula>$AA56="Salary Related"</formula>
    </cfRule>
    <cfRule type="expression" dxfId="17" priority="112">
      <formula>$AA56="NFR due to Poor Evaluation"</formula>
    </cfRule>
    <cfRule type="expression" dxfId="18" priority="113">
      <formula>$AA56="Retired"</formula>
    </cfRule>
    <cfRule type="expression" dxfId="16" priority="114">
      <formula>$AA56="NFR due to PEME"</formula>
    </cfRule>
  </conditionalFormatting>
  <conditionalFormatting sqref="V68:V71">
    <cfRule type="expression" dxfId="14" priority="91">
      <formula>$AA68="Non Salary Related"</formula>
    </cfRule>
  </conditionalFormatting>
  <conditionalFormatting sqref="V72:V84 V86:V127">
    <cfRule type="expression" dxfId="13" priority="80">
      <formula>$AA72="Non Salary Related"</formula>
    </cfRule>
  </conditionalFormatting>
  <conditionalFormatting sqref="V82:V83">
    <cfRule type="expression" dxfId="12" priority="76">
      <formula>$AA82="Salary Related"</formula>
    </cfRule>
    <cfRule type="expression" dxfId="11" priority="77">
      <formula>$AA82="NFR due to Poor Evaluation"</formula>
    </cfRule>
    <cfRule type="expression" dxfId="10" priority="78">
      <formula>$AA82="Retired"</formula>
    </cfRule>
    <cfRule type="expression" dxfId="9" priority="79">
      <formula>$AA82="NFR due to PEME"</formula>
    </cfRule>
  </conditionalFormatting>
  <conditionalFormatting sqref="V85:V90 V92:V127">
    <cfRule type="expression" dxfId="8" priority="17">
      <formula>$AA85="NFR due to PEME"</formula>
    </cfRule>
  </conditionalFormatting>
  <conditionalFormatting sqref="V92:V127 V85:V90">
    <cfRule type="expression" dxfId="7" priority="16">
      <formula>$AA85="Retired"</formula>
    </cfRule>
  </conditionalFormatting>
  <conditionalFormatting sqref="V92:V127">
    <cfRule type="expression" dxfId="6" priority="14">
      <formula>$AA92="Salary Related"</formula>
    </cfRule>
    <cfRule type="expression" dxfId="5" priority="15">
      <formula>$AA92="NFR due to Poor Evaluation"</formula>
    </cfRule>
  </conditionalFormatting>
  <conditionalFormatting sqref="W67">
    <cfRule type="expression" dxfId="2" priority="97">
      <formula>$AA67="Salary Related"</formula>
    </cfRule>
    <cfRule type="expression" dxfId="3" priority="98">
      <formula>$AA67="NFR due to Poor Evaluation"</formula>
    </cfRule>
    <cfRule type="expression" dxfId="4" priority="99">
      <formula>$AA67="Retired"</formula>
    </cfRule>
    <cfRule type="expression" dxfId="1" priority="100">
      <formula>$AA67="NFR due to PEME"</formula>
    </cfRule>
    <cfRule type="expression" dxfId="0" priority="101">
      <formula>$AA67="Non Salary Related"</formula>
    </cfRule>
  </conditionalFormatting>
  <pageMargins left="0" right="0" top="0.75" bottom="0.3" header="0.3" footer="0"/>
  <pageSetup paperSize="9" scale="63" orientation="landscape" horizontalDpi="4294967295" verticalDpi="4294967295" r:id="rId1"/>
  <colBreaks count="2" manualBreakCount="2">
    <brk id="13" max="73" man="1"/>
    <brk id="2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2026</vt:lpstr>
      <vt:lpstr>JANUARY</vt:lpstr>
      <vt:lpstr>'2026'!Print_Area</vt:lpstr>
      <vt:lpstr>'2026'!Print_Titles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VERITAS MARITIME CORPORATION</dc:creator>
  <cp:lastModifiedBy>VERITAS MARITIME CORPORATION</cp:lastModifiedBy>
  <dcterms:created xsi:type="dcterms:W3CDTF">2026-10-01T07:02:59Z</dcterms:created>
  <dcterms:modified xsi:type="dcterms:W3CDTF">2026-10-01T07:04:12Z</dcterms:modified>
</cp:coreProperties>
</file>